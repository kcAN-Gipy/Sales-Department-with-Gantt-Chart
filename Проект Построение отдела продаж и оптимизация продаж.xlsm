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\\SERV\dfs\Files\employees\Алексеев Алексей\!!Черновик\задание\!от СН\построение отдела продаж\"/>
    </mc:Choice>
  </mc:AlternateContent>
  <bookViews>
    <workbookView xWindow="-120" yWindow="22560" windowWidth="29040" windowHeight="15840"/>
  </bookViews>
  <sheets>
    <sheet name="Таблица" sheetId="1" r:id="rId1"/>
    <sheet name="Изменения" sheetId="2" r:id="rId2"/>
  </sheets>
  <calcPr calcId="152511"/>
</workbook>
</file>

<file path=xl/calcChain.xml><?xml version="1.0" encoding="utf-8"?>
<calcChain xmlns="http://schemas.openxmlformats.org/spreadsheetml/2006/main">
  <c r="AG20" i="1" l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I14" i="1" s="1"/>
  <c r="H20" i="1"/>
  <c r="G20" i="1"/>
  <c r="F20" i="1"/>
  <c r="G7" i="1" l="1"/>
  <c r="G140" i="2" l="1"/>
  <c r="G139" i="2"/>
  <c r="G138" i="2"/>
  <c r="G137" i="2"/>
  <c r="G136" i="2"/>
  <c r="G135" i="2"/>
  <c r="G134" i="2"/>
  <c r="G133" i="2"/>
  <c r="G132" i="2"/>
  <c r="G131" i="2"/>
  <c r="G130" i="2" s="1"/>
  <c r="AJ130" i="2"/>
  <c r="AI130" i="2"/>
  <c r="AH130" i="2"/>
  <c r="AG130" i="2"/>
  <c r="AF130" i="2"/>
  <c r="AE130" i="2"/>
  <c r="AD130" i="2"/>
  <c r="AC130" i="2"/>
  <c r="AB130" i="2"/>
  <c r="AA130" i="2"/>
  <c r="Z130" i="2"/>
  <c r="Y130" i="2"/>
  <c r="X130" i="2"/>
  <c r="W130" i="2"/>
  <c r="V130" i="2"/>
  <c r="U130" i="2"/>
  <c r="T130" i="2"/>
  <c r="S130" i="2"/>
  <c r="R130" i="2"/>
  <c r="Q130" i="2"/>
  <c r="P130" i="2"/>
  <c r="O130" i="2"/>
  <c r="N130" i="2"/>
  <c r="M130" i="2"/>
  <c r="L130" i="2"/>
  <c r="K130" i="2"/>
  <c r="J130" i="2"/>
  <c r="I130" i="2"/>
  <c r="G129" i="2"/>
  <c r="E128" i="2"/>
  <c r="G128" i="2" s="1"/>
  <c r="E127" i="2"/>
  <c r="G127" i="2" s="1"/>
  <c r="E126" i="2"/>
  <c r="G126" i="2" s="1"/>
  <c r="E125" i="2"/>
  <c r="G125" i="2" s="1"/>
  <c r="G124" i="2"/>
  <c r="G123" i="2"/>
  <c r="G122" i="2"/>
  <c r="AJ121" i="2"/>
  <c r="AI121" i="2"/>
  <c r="AH121" i="2"/>
  <c r="AG121" i="2"/>
  <c r="AF121" i="2"/>
  <c r="AE121" i="2"/>
  <c r="AD121" i="2"/>
  <c r="AC121" i="2"/>
  <c r="AB121" i="2"/>
  <c r="AA121" i="2"/>
  <c r="Z121" i="2"/>
  <c r="Y121" i="2"/>
  <c r="X121" i="2"/>
  <c r="W121" i="2"/>
  <c r="V121" i="2"/>
  <c r="U121" i="2"/>
  <c r="T121" i="2"/>
  <c r="S121" i="2"/>
  <c r="R121" i="2"/>
  <c r="Q121" i="2"/>
  <c r="P121" i="2"/>
  <c r="O121" i="2"/>
  <c r="N121" i="2"/>
  <c r="M121" i="2"/>
  <c r="L121" i="2"/>
  <c r="K121" i="2"/>
  <c r="J121" i="2"/>
  <c r="I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AJ97" i="2"/>
  <c r="AI97" i="2"/>
  <c r="AH97" i="2"/>
  <c r="AG97" i="2"/>
  <c r="AF97" i="2"/>
  <c r="AE97" i="2"/>
  <c r="AD97" i="2"/>
  <c r="AC97" i="2"/>
  <c r="AB97" i="2"/>
  <c r="AA97" i="2"/>
  <c r="Z97" i="2"/>
  <c r="Y97" i="2"/>
  <c r="X97" i="2"/>
  <c r="W97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AJ80" i="2"/>
  <c r="AI80" i="2"/>
  <c r="AH80" i="2"/>
  <c r="AG80" i="2"/>
  <c r="AF80" i="2"/>
  <c r="AE80" i="2"/>
  <c r="AD80" i="2"/>
  <c r="AC80" i="2"/>
  <c r="AB80" i="2"/>
  <c r="AA80" i="2"/>
  <c r="Z80" i="2"/>
  <c r="Y80" i="2"/>
  <c r="X80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G77" i="2"/>
  <c r="G76" i="2"/>
  <c r="G75" i="2"/>
  <c r="G74" i="2"/>
  <c r="G73" i="2"/>
  <c r="AJ72" i="2"/>
  <c r="AI72" i="2"/>
  <c r="AH72" i="2"/>
  <c r="AG72" i="2"/>
  <c r="AF72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G71" i="2"/>
  <c r="G70" i="2"/>
  <c r="G69" i="2"/>
  <c r="G68" i="2"/>
  <c r="G67" i="2"/>
  <c r="G66" i="2"/>
  <c r="G65" i="2"/>
  <c r="G64" i="2"/>
  <c r="G63" i="2"/>
  <c r="G62" i="2"/>
  <c r="G61" i="2"/>
  <c r="AJ60" i="2"/>
  <c r="AI60" i="2"/>
  <c r="AH60" i="2"/>
  <c r="AG60" i="2"/>
  <c r="AF60" i="2"/>
  <c r="AE60" i="2"/>
  <c r="AD60" i="2"/>
  <c r="AC60" i="2"/>
  <c r="AB60" i="2"/>
  <c r="AA60" i="2"/>
  <c r="Z60" i="2"/>
  <c r="Y60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E39" i="2"/>
  <c r="G39" i="2" s="1"/>
  <c r="AJ38" i="2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G37" i="2"/>
  <c r="G36" i="2"/>
  <c r="G35" i="2"/>
  <c r="AJ34" i="2"/>
  <c r="AI3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AJ20" i="2"/>
  <c r="AJ14" i="2" s="1"/>
  <c r="AI20" i="2"/>
  <c r="AI14" i="2" s="1"/>
  <c r="AH20" i="2"/>
  <c r="AH14" i="2" s="1"/>
  <c r="AG20" i="2"/>
  <c r="AG14" i="2" s="1"/>
  <c r="AF20" i="2"/>
  <c r="AF14" i="2" s="1"/>
  <c r="AE20" i="2"/>
  <c r="AE14" i="2" s="1"/>
  <c r="AD20" i="2"/>
  <c r="AC20" i="2"/>
  <c r="AB20" i="2"/>
  <c r="AB14" i="2" s="1"/>
  <c r="AA20" i="2"/>
  <c r="AA14" i="2" s="1"/>
  <c r="Z20" i="2"/>
  <c r="Z14" i="2" s="1"/>
  <c r="Y20" i="2"/>
  <c r="Y14" i="2" s="1"/>
  <c r="X20" i="2"/>
  <c r="X14" i="2" s="1"/>
  <c r="W20" i="2"/>
  <c r="W14" i="2" s="1"/>
  <c r="V20" i="2"/>
  <c r="V14" i="2" s="1"/>
  <c r="U20" i="2"/>
  <c r="U14" i="2" s="1"/>
  <c r="T20" i="2"/>
  <c r="T14" i="2" s="1"/>
  <c r="S20" i="2"/>
  <c r="S14" i="2" s="1"/>
  <c r="R20" i="2"/>
  <c r="Q20" i="2"/>
  <c r="P20" i="2"/>
  <c r="P14" i="2" s="1"/>
  <c r="O20" i="2"/>
  <c r="O14" i="2" s="1"/>
  <c r="N20" i="2"/>
  <c r="N14" i="2" s="1"/>
  <c r="M20" i="2"/>
  <c r="M14" i="2" s="1"/>
  <c r="L20" i="2"/>
  <c r="L14" i="2" s="1"/>
  <c r="K20" i="2"/>
  <c r="K14" i="2" s="1"/>
  <c r="J20" i="2"/>
  <c r="J14" i="2" s="1"/>
  <c r="I20" i="2"/>
  <c r="I14" i="2" s="1"/>
  <c r="G19" i="2"/>
  <c r="G18" i="2"/>
  <c r="G17" i="2"/>
  <c r="G16" i="2"/>
  <c r="G15" i="2"/>
  <c r="AD14" i="2"/>
  <c r="AC14" i="2"/>
  <c r="R14" i="2"/>
  <c r="Q14" i="2"/>
  <c r="G12" i="2"/>
  <c r="G11" i="2"/>
  <c r="G10" i="2"/>
  <c r="G9" i="2"/>
  <c r="G8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AJ6" i="2"/>
  <c r="AC6" i="2"/>
  <c r="V6" i="2"/>
  <c r="O6" i="2"/>
  <c r="AC120" i="1"/>
  <c r="AD120" i="1"/>
  <c r="AE120" i="1"/>
  <c r="AF120" i="1"/>
  <c r="AG120" i="1"/>
  <c r="AB120" i="1"/>
  <c r="AA120" i="1"/>
  <c r="V120" i="1"/>
  <c r="W120" i="1"/>
  <c r="X120" i="1"/>
  <c r="Y120" i="1"/>
  <c r="Z120" i="1"/>
  <c r="U120" i="1"/>
  <c r="T120" i="1"/>
  <c r="O120" i="1"/>
  <c r="P120" i="1"/>
  <c r="Q120" i="1"/>
  <c r="R120" i="1"/>
  <c r="S120" i="1"/>
  <c r="N120" i="1"/>
  <c r="M120" i="1"/>
  <c r="H120" i="1"/>
  <c r="I120" i="1"/>
  <c r="J120" i="1"/>
  <c r="K120" i="1"/>
  <c r="L120" i="1"/>
  <c r="G120" i="1"/>
  <c r="F120" i="1"/>
  <c r="M7" i="1"/>
  <c r="D95" i="1"/>
  <c r="D93" i="1"/>
  <c r="D91" i="1"/>
  <c r="G60" i="2" l="1"/>
  <c r="G72" i="2"/>
  <c r="G7" i="2"/>
  <c r="G20" i="2"/>
  <c r="G97" i="2"/>
  <c r="G38" i="2"/>
  <c r="G34" i="2" s="1"/>
  <c r="G14" i="2"/>
  <c r="G121" i="2"/>
  <c r="G80" i="2"/>
  <c r="D66" i="1"/>
  <c r="D70" i="1"/>
  <c r="D68" i="1"/>
  <c r="D32" i="1"/>
  <c r="D30" i="1"/>
  <c r="D28" i="1"/>
  <c r="D21" i="1"/>
  <c r="D22" i="1"/>
  <c r="G141" i="2" l="1"/>
  <c r="D20" i="1"/>
  <c r="D16" i="1"/>
  <c r="AC33" i="1" l="1"/>
  <c r="AD33" i="1"/>
  <c r="AE33" i="1"/>
  <c r="AF33" i="1"/>
  <c r="AG33" i="1"/>
  <c r="AB33" i="1"/>
  <c r="AA33" i="1"/>
  <c r="V33" i="1"/>
  <c r="W33" i="1"/>
  <c r="X33" i="1"/>
  <c r="Y33" i="1"/>
  <c r="Z33" i="1"/>
  <c r="U33" i="1"/>
  <c r="T33" i="1"/>
  <c r="O33" i="1"/>
  <c r="P33" i="1"/>
  <c r="Q33" i="1"/>
  <c r="R33" i="1"/>
  <c r="S33" i="1"/>
  <c r="N33" i="1"/>
  <c r="M33" i="1"/>
  <c r="H33" i="1"/>
  <c r="I33" i="1"/>
  <c r="J33" i="1"/>
  <c r="K33" i="1"/>
  <c r="L33" i="1"/>
  <c r="G33" i="1"/>
  <c r="F33" i="1"/>
  <c r="AC129" i="1"/>
  <c r="AD129" i="1"/>
  <c r="AE129" i="1"/>
  <c r="AF129" i="1"/>
  <c r="AG129" i="1"/>
  <c r="AB129" i="1"/>
  <c r="AA129" i="1"/>
  <c r="V129" i="1"/>
  <c r="W129" i="1"/>
  <c r="X129" i="1"/>
  <c r="Y129" i="1"/>
  <c r="Z129" i="1"/>
  <c r="U129" i="1"/>
  <c r="T129" i="1"/>
  <c r="O129" i="1"/>
  <c r="P129" i="1"/>
  <c r="Q129" i="1"/>
  <c r="R129" i="1"/>
  <c r="S129" i="1"/>
  <c r="N129" i="1"/>
  <c r="M129" i="1"/>
  <c r="H129" i="1"/>
  <c r="I129" i="1"/>
  <c r="J129" i="1"/>
  <c r="K129" i="1"/>
  <c r="L129" i="1"/>
  <c r="G129" i="1"/>
  <c r="F129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C71" i="1"/>
  <c r="AD71" i="1"/>
  <c r="AE71" i="1"/>
  <c r="AF71" i="1"/>
  <c r="AG71" i="1"/>
  <c r="AB71" i="1"/>
  <c r="AA71" i="1"/>
  <c r="V71" i="1"/>
  <c r="W71" i="1"/>
  <c r="X71" i="1"/>
  <c r="Y71" i="1"/>
  <c r="Z71" i="1"/>
  <c r="U71" i="1"/>
  <c r="T71" i="1"/>
  <c r="O71" i="1"/>
  <c r="P71" i="1"/>
  <c r="Q71" i="1"/>
  <c r="R71" i="1"/>
  <c r="S71" i="1"/>
  <c r="N71" i="1"/>
  <c r="M71" i="1"/>
  <c r="H71" i="1"/>
  <c r="I71" i="1"/>
  <c r="J71" i="1"/>
  <c r="K71" i="1"/>
  <c r="L71" i="1"/>
  <c r="G71" i="1"/>
  <c r="F71" i="1"/>
  <c r="AC59" i="1"/>
  <c r="AD59" i="1"/>
  <c r="AE59" i="1"/>
  <c r="AF59" i="1"/>
  <c r="AG59" i="1"/>
  <c r="AB59" i="1"/>
  <c r="AA59" i="1"/>
  <c r="V59" i="1"/>
  <c r="W59" i="1"/>
  <c r="X59" i="1"/>
  <c r="Y59" i="1"/>
  <c r="Z59" i="1"/>
  <c r="U59" i="1"/>
  <c r="T59" i="1"/>
  <c r="O59" i="1"/>
  <c r="P59" i="1"/>
  <c r="Q59" i="1"/>
  <c r="R59" i="1"/>
  <c r="S59" i="1"/>
  <c r="N59" i="1"/>
  <c r="M59" i="1"/>
  <c r="H59" i="1"/>
  <c r="I59" i="1"/>
  <c r="J59" i="1"/>
  <c r="K59" i="1"/>
  <c r="L59" i="1"/>
  <c r="G59" i="1"/>
  <c r="F59" i="1"/>
  <c r="D75" i="1"/>
  <c r="AG6" i="1"/>
  <c r="AA7" i="1"/>
  <c r="AB7" i="1"/>
  <c r="AC7" i="1"/>
  <c r="AD7" i="1"/>
  <c r="AE7" i="1"/>
  <c r="AF7" i="1"/>
  <c r="AG7" i="1"/>
  <c r="AA14" i="1"/>
  <c r="AB14" i="1"/>
  <c r="AC14" i="1"/>
  <c r="AD14" i="1"/>
  <c r="AE14" i="1"/>
  <c r="AF14" i="1"/>
  <c r="AG14" i="1"/>
  <c r="AA79" i="1"/>
  <c r="AB79" i="1"/>
  <c r="AC79" i="1"/>
  <c r="AD79" i="1"/>
  <c r="AE79" i="1"/>
  <c r="AF79" i="1"/>
  <c r="AG79" i="1"/>
  <c r="AA96" i="1"/>
  <c r="AB96" i="1"/>
  <c r="AC96" i="1"/>
  <c r="AD96" i="1"/>
  <c r="AE96" i="1"/>
  <c r="AF96" i="1"/>
  <c r="AG96" i="1"/>
  <c r="D131" i="1" l="1"/>
  <c r="D132" i="1"/>
  <c r="D133" i="1"/>
  <c r="D134" i="1"/>
  <c r="D135" i="1"/>
  <c r="D136" i="1"/>
  <c r="D137" i="1"/>
  <c r="D138" i="1"/>
  <c r="D139" i="1"/>
  <c r="D130" i="1"/>
  <c r="D129" i="1" l="1"/>
  <c r="Z79" i="1"/>
  <c r="V79" i="1"/>
  <c r="W79" i="1"/>
  <c r="X79" i="1"/>
  <c r="Y79" i="1"/>
  <c r="O79" i="1"/>
  <c r="P79" i="1"/>
  <c r="Q79" i="1"/>
  <c r="R79" i="1"/>
  <c r="S79" i="1"/>
  <c r="H79" i="1"/>
  <c r="I79" i="1"/>
  <c r="J79" i="1"/>
  <c r="K79" i="1"/>
  <c r="L79" i="1"/>
  <c r="U79" i="1"/>
  <c r="T79" i="1"/>
  <c r="N79" i="1"/>
  <c r="M79" i="1"/>
  <c r="G79" i="1"/>
  <c r="F79" i="1"/>
  <c r="Z14" i="1"/>
  <c r="X14" i="1"/>
  <c r="Q14" i="1"/>
  <c r="V14" i="1"/>
  <c r="W14" i="1"/>
  <c r="Y14" i="1"/>
  <c r="O14" i="1"/>
  <c r="P14" i="1"/>
  <c r="R14" i="1"/>
  <c r="S14" i="1"/>
  <c r="U14" i="1"/>
  <c r="T14" i="1"/>
  <c r="N14" i="1"/>
  <c r="M14" i="1"/>
  <c r="L14" i="1"/>
  <c r="H14" i="1"/>
  <c r="J14" i="1"/>
  <c r="K14" i="1"/>
  <c r="G14" i="1"/>
  <c r="F14" i="1"/>
  <c r="D87" i="1"/>
  <c r="D88" i="1"/>
  <c r="D25" i="1"/>
  <c r="D24" i="1"/>
  <c r="L6" i="1" l="1"/>
  <c r="F96" i="1"/>
  <c r="V7" i="1"/>
  <c r="W7" i="1"/>
  <c r="X7" i="1"/>
  <c r="Y7" i="1"/>
  <c r="Z7" i="1"/>
  <c r="U7" i="1"/>
  <c r="T7" i="1"/>
  <c r="O7" i="1"/>
  <c r="P7" i="1"/>
  <c r="Q7" i="1"/>
  <c r="R7" i="1"/>
  <c r="S7" i="1"/>
  <c r="N7" i="1"/>
  <c r="H7" i="1"/>
  <c r="I7" i="1"/>
  <c r="J7" i="1"/>
  <c r="K7" i="1"/>
  <c r="L7" i="1"/>
  <c r="F7" i="1"/>
  <c r="D89" i="1" l="1"/>
  <c r="D26" i="1"/>
  <c r="D18" i="1"/>
  <c r="D19" i="1"/>
  <c r="D84" i="1"/>
  <c r="D83" i="1"/>
  <c r="D90" i="1"/>
  <c r="D92" i="1"/>
  <c r="D94" i="1"/>
  <c r="D29" i="1" l="1"/>
  <c r="D31" i="1"/>
  <c r="D10" i="1"/>
  <c r="D11" i="1"/>
  <c r="D9" i="1"/>
  <c r="G96" i="1" l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D113" i="1" l="1"/>
  <c r="D115" i="1"/>
  <c r="D81" i="1"/>
  <c r="D82" i="1"/>
  <c r="D17" i="1"/>
  <c r="D35" i="1" l="1"/>
  <c r="D36" i="1"/>
  <c r="D39" i="1"/>
  <c r="D40" i="1"/>
  <c r="D41" i="1"/>
  <c r="D42" i="1"/>
  <c r="D43" i="1"/>
  <c r="D44" i="1"/>
  <c r="D45" i="1"/>
  <c r="D46" i="1"/>
  <c r="D47" i="1"/>
  <c r="D34" i="1"/>
  <c r="B38" i="1"/>
  <c r="D38" i="1" s="1"/>
  <c r="D56" i="1"/>
  <c r="D55" i="1"/>
  <c r="D54" i="1"/>
  <c r="D52" i="1"/>
  <c r="D51" i="1"/>
  <c r="D48" i="1"/>
  <c r="D49" i="1"/>
  <c r="D109" i="1"/>
  <c r="D110" i="1"/>
  <c r="D111" i="1"/>
  <c r="D112" i="1"/>
  <c r="D114" i="1"/>
  <c r="D116" i="1"/>
  <c r="D117" i="1"/>
  <c r="D118" i="1"/>
  <c r="D119" i="1"/>
  <c r="D72" i="1"/>
  <c r="D73" i="1"/>
  <c r="D61" i="1"/>
  <c r="D62" i="1"/>
  <c r="D60" i="1"/>
  <c r="D86" i="1"/>
  <c r="D85" i="1"/>
  <c r="B127" i="1"/>
  <c r="D127" i="1" s="1"/>
  <c r="B126" i="1"/>
  <c r="D126" i="1" s="1"/>
  <c r="B125" i="1"/>
  <c r="D125" i="1" s="1"/>
  <c r="B124" i="1"/>
  <c r="D124" i="1" s="1"/>
  <c r="D123" i="1"/>
  <c r="D128" i="1"/>
  <c r="D122" i="1"/>
  <c r="D121" i="1"/>
  <c r="D98" i="1"/>
  <c r="D99" i="1"/>
  <c r="D100" i="1"/>
  <c r="D101" i="1"/>
  <c r="D102" i="1"/>
  <c r="D103" i="1"/>
  <c r="D104" i="1"/>
  <c r="D105" i="1"/>
  <c r="D106" i="1"/>
  <c r="D107" i="1"/>
  <c r="D108" i="1"/>
  <c r="D97" i="1"/>
  <c r="D76" i="1"/>
  <c r="D74" i="1"/>
  <c r="D50" i="1"/>
  <c r="D53" i="1"/>
  <c r="D57" i="1"/>
  <c r="D12" i="1"/>
  <c r="D23" i="1"/>
  <c r="D27" i="1"/>
  <c r="D15" i="1"/>
  <c r="D8" i="1"/>
  <c r="D64" i="1"/>
  <c r="D80" i="1"/>
  <c r="D67" i="1"/>
  <c r="D69" i="1"/>
  <c r="D65" i="1"/>
  <c r="D63" i="1"/>
  <c r="D14" i="1" l="1"/>
  <c r="D79" i="1"/>
  <c r="D7" i="1"/>
  <c r="D59" i="1"/>
  <c r="D120" i="1"/>
  <c r="D96" i="1"/>
  <c r="D37" i="1"/>
  <c r="D71" i="1"/>
  <c r="Z6" i="1"/>
  <c r="S6" i="1"/>
  <c r="AH6" i="1" l="1"/>
  <c r="D33" i="1"/>
  <c r="D140" i="1" s="1"/>
</calcChain>
</file>

<file path=xl/sharedStrings.xml><?xml version="1.0" encoding="utf-8"?>
<sst xmlns="http://schemas.openxmlformats.org/spreadsheetml/2006/main" count="364" uniqueCount="147">
  <si>
    <t>Лидогенерация</t>
  </si>
  <si>
    <t>Отдел продаж постоянным клиентам</t>
  </si>
  <si>
    <t>Месяцы</t>
  </si>
  <si>
    <t>Цена (руб)</t>
  </si>
  <si>
    <t>Настройка и запуск отдела холодных звонков</t>
  </si>
  <si>
    <t>Дополнительные пакеты</t>
  </si>
  <si>
    <t>Синхронизация с бухгалтерией (не более 10х часов)</t>
  </si>
  <si>
    <t>Дополнительные консультации по методологии ОАП сверх пакета (в час)</t>
  </si>
  <si>
    <t>Отдел по привлечению новых клиентов (Хантеры)</t>
  </si>
  <si>
    <t>Январь</t>
  </si>
  <si>
    <t>Настройка складского учёта и докуменов складского учёта</t>
  </si>
  <si>
    <t>Построение оптимальной структуры ОП под цели компании</t>
  </si>
  <si>
    <t>Повышение качества переговоров и интенсивности звонков действующих менеджеров</t>
  </si>
  <si>
    <t>Холодные звонки колл-центром клиента</t>
  </si>
  <si>
    <t>Холодные звонки колл-центром АСУ 21 Век</t>
  </si>
  <si>
    <t>Результаты</t>
  </si>
  <si>
    <t>Построение оптимального ОП по работе с НОВЫМИ клиентами (по разработанной ранее оптимальной структуре)</t>
  </si>
  <si>
    <t>Итого по этапу</t>
  </si>
  <si>
    <r>
      <t xml:space="preserve">* Прослушивание звонков менеджеров по продажам и проверка соблюдения корпоративной книги продаж (соответствие структуре разговора;  
* Анализ нормативов по интенсивности переговоров;
* Активность работы с клиентской базы; 
* Качество и оперативность работы с входящим потоком клиентов
</t>
    </r>
    <r>
      <rPr>
        <b/>
        <sz val="14"/>
        <color rgb="FFC00000"/>
        <rFont val="Calibri"/>
        <family val="2"/>
        <charset val="204"/>
        <scheme val="minor"/>
      </rPr>
      <t>Рост продаж - 5-10%</t>
    </r>
  </si>
  <si>
    <r>
      <t xml:space="preserve">* Правильные СОТ для каждой должности в ОП. Менеджер будет заинтересован работать качественно с большим количеством клиентов
* Правильный бизнес-процесс продаж. 
* Менеджер будет заниматься только продажами, а не бензовозы заказывать
</t>
    </r>
    <r>
      <rPr>
        <b/>
        <sz val="14"/>
        <color rgb="FFC00000"/>
        <rFont val="Calibri"/>
        <family val="2"/>
        <charset val="204"/>
        <scheme val="minor"/>
      </rPr>
      <t>Рост продаж - 0%</t>
    </r>
  </si>
  <si>
    <r>
      <t xml:space="preserve">* Менеджер ведет не менее сотни клиентов 
* Менеджер работает со всей клиентской базой. Нет ни одного заброшенного клиента.
* Каждому клиенту продает максимум продукции, соответсвующей потенциалу клиента
</t>
    </r>
    <r>
      <rPr>
        <b/>
        <sz val="14"/>
        <color rgb="FFC00000"/>
        <rFont val="Calibri"/>
        <family val="2"/>
        <charset val="204"/>
        <scheme val="minor"/>
      </rPr>
      <t>Рост продаж - 30%-40%</t>
    </r>
  </si>
  <si>
    <t>Построение оптимального ОП по работе с ПОСТОЯННЫМИ клиентами (по разработанной ранее оптимальной структуре)</t>
  </si>
  <si>
    <r>
      <t xml:space="preserve">* Наконец-то в компании появляется Отдел, который получает деньги только за новых клиентов. Отдел озабочен только новыми клиентами.
* Количество новых клиентов в конпанию в месяц не опускается ниже нескольких десятков в месяц
* Клиентская база компании постоянно растет. Растет высокими темпами.
* Компания постоянно растет
</t>
    </r>
    <r>
      <rPr>
        <b/>
        <sz val="14"/>
        <color rgb="FFC00000"/>
        <rFont val="Calibri"/>
        <family val="2"/>
        <charset val="204"/>
        <scheme val="minor"/>
      </rPr>
      <t>Рост продаж - 80%-120%</t>
    </r>
  </si>
  <si>
    <t>Количество</t>
  </si>
  <si>
    <t>Сумма (руб)</t>
  </si>
  <si>
    <t>Этап, Продукт</t>
  </si>
  <si>
    <t>Блок</t>
  </si>
  <si>
    <t>Телефония и Программное обеспечение</t>
  </si>
  <si>
    <t>1С:Предприятие 8. Управление торговлей</t>
  </si>
  <si>
    <r>
      <t>Найм</t>
    </r>
    <r>
      <rPr>
        <sz val="11"/>
        <color rgb="FFFF0000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колл-менеджера</t>
    </r>
  </si>
  <si>
    <t>Руководитель отдела продаж в аренду Стандарт</t>
  </si>
  <si>
    <t>Руководитель отдела продаж в аренду ВИП</t>
  </si>
  <si>
    <t>Руководитель отдела продаж в аренду ALL Invclusive</t>
  </si>
  <si>
    <t>Стоимость проекта</t>
  </si>
  <si>
    <t xml:space="preserve">Оптимизация отдела продаж </t>
  </si>
  <si>
    <t>Производственный учёт и производственные документы от 400 000 (по запросу)</t>
  </si>
  <si>
    <t>Модуль Запросы (18000 + 45000)</t>
  </si>
  <si>
    <t>Модуль Маршрутизация звонков + Типовые схемы (10000 + 20000)</t>
  </si>
  <si>
    <t>Модуль Проекты (27000 + 65000)</t>
  </si>
  <si>
    <t>Модуль Планирование продаж (65000 + 40000)</t>
  </si>
  <si>
    <t>Разработка сценария холодного звонка Стандарт</t>
  </si>
  <si>
    <t>Разработка сценария холодного звонка ВИП</t>
  </si>
  <si>
    <t>Разработка сценария холодного звонка ALL Inclusive</t>
  </si>
  <si>
    <t>1С:Предприятие 8. Управление торговлей (USB)</t>
  </si>
  <si>
    <t>1С:Предприятие 8. Клиентская лицензия  1 рабочее место</t>
  </si>
  <si>
    <t>1С:Предприятие 8. Клиентская лицензия на 1 рабочее место (USB)</t>
  </si>
  <si>
    <t>1С:Предприятие 8. Клиентская лицензия на 10 рабочих мест</t>
  </si>
  <si>
    <t>1С:Предприятие 8. Клиентская лицензия на 10 рабочих мест (USB)</t>
  </si>
  <si>
    <t>1С:Предприятие 8. Клиентская лицензия на 20 рабочих мест</t>
  </si>
  <si>
    <t>1С:Предприятие 8. Клиентская лицензия на 20 рабочих мест (USB)</t>
  </si>
  <si>
    <t>1С:Предприятие 8. Клиентская лицензия на 5 рабочих мест</t>
  </si>
  <si>
    <t>1С:Предприятие 8. Клиентская лицензия на 5 рабочих мест (USB)</t>
  </si>
  <si>
    <t>1С:Предприятие 8. Клиентская лицензия на 50 рабочих мест</t>
  </si>
  <si>
    <t>1С:Предприятие 8. Клиентская лицензия на 50 рабочих мест (USB)</t>
  </si>
  <si>
    <t>1С:Предприятие 8.3. Лицензия на сервер (x86-64)</t>
  </si>
  <si>
    <t>1С:Предприятие 8.3. Лицензия на сервер (x86-64) (USB)</t>
  </si>
  <si>
    <t>Аренда рабочего места (1мес)</t>
  </si>
  <si>
    <t>Лицензия "1С:Центр Холодных продаж и Настойчивый менеджер"</t>
  </si>
  <si>
    <t>Лицензия "1С:Центр Холодных продаж"</t>
  </si>
  <si>
    <t>Мини-АТС "Спутник" (IP-телефония)</t>
  </si>
  <si>
    <t>Услуга виртуальная IP-телефония</t>
  </si>
  <si>
    <t>Услуги по настройке IP-телефонии на оборудовании Заказчика</t>
  </si>
  <si>
    <t>Услуга «Сарафан Экспертности Лайт»</t>
  </si>
  <si>
    <t>Услуга "Настройка рекламной кампании "Прямой спрос" (1 месяц)</t>
  </si>
  <si>
    <t>Услуга "Настройка рекламной кампании "Прямой спрос + Тематические площадки" (1 месяц)</t>
  </si>
  <si>
    <t>Услуга "Настройка рекламной кампании "Максимальный пакет интернет продвижения" (1 месяц)</t>
  </si>
  <si>
    <t>Услуга "Сопровождение рекламной кампании Пакет 1 (1 раз в месяц, РК "Прямой спрос") (1 месяц)</t>
  </si>
  <si>
    <t>Услуга "Сопровождение рекламной кампании Пакет 2  (1 месяц)</t>
  </si>
  <si>
    <t>Услуга "Сопровождение рекламной кампании Пакет 3  (1 месяц)</t>
  </si>
  <si>
    <t>Услуга "Сопровождение рекламной кампании Пакет 4  (1 месяц)</t>
  </si>
  <si>
    <t>Услуга «Продающая страница» Стандарт</t>
  </si>
  <si>
    <t>Услуга «Продающая страница» ВИП</t>
  </si>
  <si>
    <t>Услуга «Продающая страница» Супер ВИП</t>
  </si>
  <si>
    <t>Услуга «Продающая страница» Индивидуальная</t>
  </si>
  <si>
    <t xml:space="preserve">Проект "Построение отдела продаж и оптимизация продаж" </t>
  </si>
  <si>
    <t>Разработка корпоративной  книги продаж  ALL INCLUSIVE</t>
  </si>
  <si>
    <t>Разработка корпоративной  книги продаж  ВИП</t>
  </si>
  <si>
    <t>Разработка корпоративной  книги продаж Стандарт</t>
  </si>
  <si>
    <t>Лицензия  "1С:Настойчивый менеджер"</t>
  </si>
  <si>
    <t>Лицензия "1С:Отдел Активных Продаж"</t>
  </si>
  <si>
    <t>Консультация онлайн, Обработный звонок, Яндекс-диалоги</t>
  </si>
  <si>
    <t>Каталог продукции. Корзина. Заявка с номенклатурой. До 6 номенклатурных позиций</t>
  </si>
  <si>
    <t>Каталог продукции. Корзина. Заявка с номенклатурой. От 6 номенклатурных позиций</t>
  </si>
  <si>
    <t>Прием оплаты через сайт</t>
  </si>
  <si>
    <t>Мультилендинг (Первый блок зависит от поискового запроса). До 5 вариантов.</t>
  </si>
  <si>
    <t>Мультилендинг (Первый блок зависит от поискового запроса). От 5 до 15 вариантов.</t>
  </si>
  <si>
    <t>Настройка рекламной кампании "Прямой спрос + Тематические площадки" (Поиск Яндекс, Поиск Гугл, РСЯ, КМС)</t>
  </si>
  <si>
    <t>Настройка рекламной кампании "Прямой спрос" (Поиск Яндекс, поиск Гугл)</t>
  </si>
  <si>
    <t>Настройка рекламной кампании "Максимальный пакет интенет продвижения" (Поиск Яндекс, поиск Гугл, РСЯ, КМС, Ретаргетинг, Ремаркетинг, Gmail-реклама, Адаптивные объявления , Баннеры на поиск, YouTube)</t>
  </si>
  <si>
    <t>Разработка оптимальной структуры Отдела продаж СТАНДАРТ</t>
  </si>
  <si>
    <t>Разработка оптимальной структуры Отдела продаж ВИП</t>
  </si>
  <si>
    <t>Обследование продукта, рынка, создание УТП ВИП</t>
  </si>
  <si>
    <t>Обследование продукта, рынка, создание УТП СТАНДАРТ</t>
  </si>
  <si>
    <t>Обследование продукта, рынка, создание УТП ЛАЙТ</t>
  </si>
  <si>
    <t>Руководитель отдела продаж в аренду ALL INCLUSIVE</t>
  </si>
  <si>
    <t>Найм менеджера (конкурсный найм)</t>
  </si>
  <si>
    <t>Найм менеджера (1 удаленный менеджер)</t>
  </si>
  <si>
    <t>Найм call-менеджера" (1 удаленный call-менеджер)</t>
  </si>
  <si>
    <t>Настройка и Запуск: "1С: Отдел Активных Продаж" Стандарт Облако</t>
  </si>
  <si>
    <t>Настройка и Запуск: "1С: Отдел Активных Продаж" Стандарт Сервер</t>
  </si>
  <si>
    <t>Настройка и Запуск: "1С: Отдел Активных Продаж" ВИП Облако</t>
  </si>
  <si>
    <t>Настройка и Запуск: "1С: Отдел Активных Продаж" ВИП Сервер</t>
  </si>
  <si>
    <t>Разработка сценария холодного звонка ALL Invclusive</t>
  </si>
  <si>
    <t>Включено в Пакет "Индивидуальный" (Подготовительный этап; Проектирование и дизайн; Основной текст и подача. Заявка с контактами клиента.)</t>
  </si>
  <si>
    <t>Услуга «Сарафан Экспертности Стандарт»</t>
  </si>
  <si>
    <t xml:space="preserve">Услуга «Сарафан Экспертности ВИП» </t>
  </si>
  <si>
    <t>Дополнительные Продукты и услуги</t>
  </si>
  <si>
    <t>Звонарь в аренду (Первый месяц)</t>
  </si>
  <si>
    <t>Звонарь в аренду (Со второго месяца)</t>
  </si>
  <si>
    <t>Конкурсный найм</t>
  </si>
  <si>
    <t>Руководитель отдела продаж в аренду Стандарт (до 5 сотрудников)</t>
  </si>
  <si>
    <t>Руководитель отдела продаж в аренду ВИП (до 5 сотрудников)</t>
  </si>
  <si>
    <t>Руководитель отдела продаж в аренду ALL INCLUSIVE (до 5 сотрудников)</t>
  </si>
  <si>
    <t>Дополнительная стоимость в месяц (за каждого следующего сотрудника, начиная с 6-го)</t>
  </si>
  <si>
    <t>Найм 2 - 4 менеджера (15-25 кандидатов на собеседовании (в среднем))</t>
  </si>
  <si>
    <t>Найм 1 Руководителя (40-60 кандидатов в 2 потока на собеседовании (в среднем))</t>
  </si>
  <si>
    <t>Найм 5 сотрудников и более (от 40 кандидатов минимум в 2 потока)</t>
  </si>
  <si>
    <t>X</t>
  </si>
  <si>
    <t>1.</t>
  </si>
  <si>
    <t>Желтым выделены ячейчи, защищенные от записи.</t>
  </si>
  <si>
    <t>2.</t>
  </si>
  <si>
    <t>Изменения:</t>
  </si>
  <si>
    <t>3.</t>
  </si>
  <si>
    <t>Макрос</t>
  </si>
  <si>
    <t>Добавлена возможность работать со структурой файла ("Группировать")</t>
  </si>
  <si>
    <t xml:space="preserve">4. </t>
  </si>
  <si>
    <t>Добавлена возможность скрывать столбцы</t>
  </si>
  <si>
    <t>Везде, где нужно было менеджеру ставить символ, сейчас сделан список, в котором выбирается необходимый символ(двойной клик по ячейке)</t>
  </si>
  <si>
    <t>Добавлена кнопка "Скрыть номенклатуру". Которая скрывает строки, в который значениев столбце "Сумма (руб)" - 0</t>
  </si>
  <si>
    <t xml:space="preserve">2. </t>
  </si>
  <si>
    <t>Добавлена кнопка "Показать номенклатуру". Которая показывает все скрытые строки.</t>
  </si>
  <si>
    <t>Кнопки "Скрыть номенклатуру" и "Показать номенклатуру" стали дополнительно скрывать/отображать столбцы с 0 под месяцами</t>
  </si>
  <si>
    <t>Добавлена возможность создавать примечания в ячейках</t>
  </si>
  <si>
    <t>Удалена строчка: "Найм 5 сотрудников и более 9от 40 кандидатов минимум в 2 потока)</t>
  </si>
  <si>
    <t>Добавлена кнопка "Скрыть колонки" - скрывает все колонки со значением 0</t>
  </si>
  <si>
    <t xml:space="preserve">3. </t>
  </si>
  <si>
    <t>Добавлена кнопка "Показать колонки" - отображает все скрытые колонки</t>
  </si>
  <si>
    <t>4.</t>
  </si>
  <si>
    <t>Кнопка "Скрыть номенклатуру" переименована в "Скрыть строки"</t>
  </si>
  <si>
    <t>5.</t>
  </si>
  <si>
    <t>Действие кнопки "Скрыть строки" изменено - теперь она скрывает все строки со хзначение 0</t>
  </si>
  <si>
    <t>6.</t>
  </si>
  <si>
    <t>Кнопка "Показать номенклатуру" переименована в "Показать строки"</t>
  </si>
  <si>
    <t>7.</t>
  </si>
  <si>
    <t>Действие кнопки "Показать строки" изменено - теперь она отображает все скрытые строки</t>
  </si>
  <si>
    <t>8.</t>
  </si>
  <si>
    <t>Добавлена возможность редактировать первую ячейку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</si>
</sst>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\ _₽_-;\-* #,##0.00\ _₽_-;_-* &quot;-&quot;??\ _₽_-;_-@_-"/>
  </numFmts>
  <fonts count="2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18"/>
      <color rgb="FF0070C0"/>
      <name val="Calibri"/>
      <family val="2"/>
      <charset val="204"/>
      <scheme val="minor"/>
    </font>
    <font>
      <sz val="18"/>
      <color rgb="FF0070C0"/>
      <name val="Calibri"/>
      <family val="2"/>
      <charset val="204"/>
      <scheme val="minor"/>
    </font>
    <font>
      <b/>
      <sz val="11"/>
      <color theme="9"/>
      <name val="Calibri"/>
      <family val="2"/>
      <charset val="204"/>
      <scheme val="minor"/>
    </font>
    <font>
      <b/>
      <sz val="14"/>
      <color rgb="FFC00000"/>
      <name val="Calibri"/>
      <family val="2"/>
      <charset val="204"/>
      <scheme val="minor"/>
    </font>
    <font>
      <b/>
      <sz val="20"/>
      <color rgb="FF0070C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u/>
      <sz val="12"/>
      <color theme="10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6"/>
      <color theme="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37">
    <xf numFmtId="0" fontId="0" fillId="0" borderId="0" xfId="0"/>
    <xf numFmtId="3" fontId="5" fillId="0" borderId="0" xfId="0" applyNumberFormat="1" applyFont="1" applyAlignment="1">
      <alignment vertical="top" wrapText="1"/>
    </xf>
    <xf numFmtId="3" fontId="5" fillId="0" borderId="0" xfId="1" applyNumberFormat="1" applyFont="1" applyAlignment="1">
      <alignment vertical="top" wrapText="1"/>
    </xf>
    <xf numFmtId="3" fontId="3" fillId="0" borderId="0" xfId="0" applyNumberFormat="1" applyFont="1" applyAlignment="1">
      <alignment vertical="top" wrapText="1"/>
    </xf>
    <xf numFmtId="3" fontId="0" fillId="0" borderId="0" xfId="0" applyNumberFormat="1" applyAlignment="1">
      <alignment vertical="top" wrapText="1"/>
    </xf>
    <xf numFmtId="3" fontId="4" fillId="0" borderId="0" xfId="0" applyNumberFormat="1" applyFont="1" applyAlignment="1">
      <alignment vertical="top" wrapText="1"/>
    </xf>
    <xf numFmtId="3" fontId="0" fillId="0" borderId="0" xfId="1" applyNumberFormat="1" applyFont="1" applyAlignment="1">
      <alignment vertical="top" wrapText="1"/>
    </xf>
    <xf numFmtId="3" fontId="0" fillId="0" borderId="0" xfId="0" applyNumberFormat="1" applyFont="1" applyAlignment="1">
      <alignment vertical="top" wrapText="1"/>
    </xf>
    <xf numFmtId="3" fontId="7" fillId="0" borderId="0" xfId="0" applyNumberFormat="1" applyFont="1" applyAlignment="1">
      <alignment vertical="top" wrapText="1"/>
    </xf>
    <xf numFmtId="3" fontId="11" fillId="0" borderId="0" xfId="0" applyNumberFormat="1" applyFont="1" applyAlignment="1">
      <alignment vertical="top" wrapText="1"/>
    </xf>
    <xf numFmtId="3" fontId="11" fillId="0" borderId="11" xfId="1" applyNumberFormat="1" applyFont="1" applyBorder="1" applyAlignment="1">
      <alignment vertical="top" wrapText="1"/>
    </xf>
    <xf numFmtId="3" fontId="0" fillId="0" borderId="11" xfId="1" applyNumberFormat="1" applyFont="1" applyBorder="1" applyAlignment="1">
      <alignment vertical="top" wrapText="1"/>
    </xf>
    <xf numFmtId="3" fontId="0" fillId="0" borderId="11" xfId="0" applyNumberFormat="1" applyFill="1" applyBorder="1" applyAlignment="1">
      <alignment horizontal="right" vertical="center" wrapText="1"/>
    </xf>
    <xf numFmtId="3" fontId="0" fillId="0" borderId="11" xfId="0" applyNumberFormat="1" applyBorder="1" applyAlignment="1">
      <alignment horizontal="right" vertical="top"/>
    </xf>
    <xf numFmtId="3" fontId="0" fillId="0" borderId="5" xfId="1" applyNumberFormat="1" applyFont="1" applyBorder="1" applyAlignment="1">
      <alignment vertical="top" wrapText="1"/>
    </xf>
    <xf numFmtId="3" fontId="0" fillId="0" borderId="0" xfId="0" applyNumberFormat="1" applyAlignment="1">
      <alignment horizontal="center" vertical="center" wrapText="1"/>
    </xf>
    <xf numFmtId="3" fontId="0" fillId="0" borderId="0" xfId="0" applyNumberFormat="1" applyFont="1" applyAlignment="1">
      <alignment horizontal="center" vertical="center" wrapText="1"/>
    </xf>
    <xf numFmtId="3" fontId="7" fillId="0" borderId="0" xfId="0" applyNumberFormat="1" applyFont="1" applyAlignment="1">
      <alignment horizontal="center" vertical="center" wrapText="1"/>
    </xf>
    <xf numFmtId="3" fontId="0" fillId="0" borderId="0" xfId="0" applyNumberFormat="1" applyAlignment="1">
      <alignment horizontal="center" vertical="top" wrapText="1"/>
    </xf>
    <xf numFmtId="3" fontId="4" fillId="0" borderId="15" xfId="1" applyNumberFormat="1" applyFont="1" applyBorder="1" applyAlignment="1">
      <alignment vertical="top" wrapText="1"/>
    </xf>
    <xf numFmtId="3" fontId="4" fillId="0" borderId="16" xfId="1" applyNumberFormat="1" applyFont="1" applyBorder="1" applyAlignment="1">
      <alignment vertical="top" wrapText="1"/>
    </xf>
    <xf numFmtId="3" fontId="0" fillId="0" borderId="10" xfId="1" applyNumberFormat="1" applyFont="1" applyBorder="1" applyAlignment="1">
      <alignment vertical="top" wrapText="1"/>
    </xf>
    <xf numFmtId="3" fontId="3" fillId="0" borderId="16" xfId="1" applyNumberFormat="1" applyFont="1" applyBorder="1" applyAlignment="1">
      <alignment vertical="top" wrapText="1"/>
    </xf>
    <xf numFmtId="3" fontId="0" fillId="0" borderId="16" xfId="1" applyNumberFormat="1" applyFont="1" applyBorder="1" applyAlignment="1">
      <alignment vertical="top" wrapText="1"/>
    </xf>
    <xf numFmtId="3" fontId="0" fillId="0" borderId="10" xfId="0" applyNumberFormat="1" applyFill="1" applyBorder="1" applyAlignment="1">
      <alignment horizontal="right" vertical="top" wrapText="1"/>
    </xf>
    <xf numFmtId="3" fontId="11" fillId="0" borderId="10" xfId="1" applyNumberFormat="1" applyFont="1" applyBorder="1" applyAlignment="1">
      <alignment vertical="top" wrapText="1"/>
    </xf>
    <xf numFmtId="3" fontId="11" fillId="0" borderId="12" xfId="0" applyNumberFormat="1" applyFont="1" applyBorder="1" applyAlignment="1">
      <alignment horizontal="center" vertical="center" wrapText="1"/>
    </xf>
    <xf numFmtId="3" fontId="11" fillId="0" borderId="0" xfId="0" applyNumberFormat="1" applyFont="1" applyBorder="1" applyAlignment="1">
      <alignment horizontal="center" vertical="center" wrapText="1"/>
    </xf>
    <xf numFmtId="3" fontId="11" fillId="0" borderId="0" xfId="0" applyNumberFormat="1" applyFont="1" applyBorder="1" applyAlignment="1">
      <alignment vertical="top" wrapText="1"/>
    </xf>
    <xf numFmtId="3" fontId="0" fillId="0" borderId="12" xfId="0" applyNumberFormat="1" applyBorder="1" applyAlignment="1">
      <alignment horizontal="center" vertical="center" wrapText="1"/>
    </xf>
    <xf numFmtId="3" fontId="0" fillId="0" borderId="0" xfId="0" applyNumberFormat="1" applyBorder="1" applyAlignment="1">
      <alignment horizontal="center" vertical="center" wrapText="1"/>
    </xf>
    <xf numFmtId="3" fontId="0" fillId="0" borderId="0" xfId="0" applyNumberFormat="1" applyBorder="1" applyAlignment="1">
      <alignment vertical="top" wrapText="1"/>
    </xf>
    <xf numFmtId="3" fontId="4" fillId="0" borderId="12" xfId="0" applyNumberFormat="1" applyFont="1" applyBorder="1" applyAlignment="1">
      <alignment horizontal="center" vertical="center" wrapText="1"/>
    </xf>
    <xf numFmtId="3" fontId="4" fillId="0" borderId="0" xfId="0" applyNumberFormat="1" applyFont="1" applyBorder="1" applyAlignment="1">
      <alignment horizontal="center" vertical="center" wrapText="1"/>
    </xf>
    <xf numFmtId="3" fontId="4" fillId="0" borderId="0" xfId="0" applyNumberFormat="1" applyFont="1" applyBorder="1" applyAlignment="1">
      <alignment vertical="top" wrapText="1"/>
    </xf>
    <xf numFmtId="3" fontId="3" fillId="0" borderId="12" xfId="0" applyNumberFormat="1" applyFont="1" applyBorder="1" applyAlignment="1">
      <alignment horizontal="center" vertical="center" wrapText="1"/>
    </xf>
    <xf numFmtId="3" fontId="3" fillId="0" borderId="0" xfId="0" applyNumberFormat="1" applyFont="1" applyBorder="1" applyAlignment="1">
      <alignment horizontal="center" vertical="center" wrapText="1"/>
    </xf>
    <xf numFmtId="3" fontId="3" fillId="0" borderId="0" xfId="0" applyNumberFormat="1" applyFont="1" applyBorder="1" applyAlignment="1">
      <alignment vertical="top" wrapText="1"/>
    </xf>
    <xf numFmtId="3" fontId="15" fillId="0" borderId="4" xfId="0" applyNumberFormat="1" applyFont="1" applyBorder="1" applyAlignment="1">
      <alignment horizontal="center" vertical="center" wrapText="1"/>
    </xf>
    <xf numFmtId="3" fontId="15" fillId="0" borderId="5" xfId="0" applyNumberFormat="1" applyFont="1" applyBorder="1" applyAlignment="1">
      <alignment horizontal="center" vertical="center" wrapText="1"/>
    </xf>
    <xf numFmtId="3" fontId="15" fillId="0" borderId="18" xfId="0" applyNumberFormat="1" applyFont="1" applyBorder="1" applyAlignment="1">
      <alignment horizontal="center" vertical="center" wrapText="1"/>
    </xf>
    <xf numFmtId="3" fontId="15" fillId="0" borderId="7" xfId="0" applyNumberFormat="1" applyFont="1" applyBorder="1" applyAlignment="1">
      <alignment horizontal="center" vertical="center" wrapText="1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14" xfId="0" applyNumberFormat="1" applyFont="1" applyBorder="1" applyAlignment="1">
      <alignment horizontal="center" vertical="center" wrapText="1"/>
    </xf>
    <xf numFmtId="3" fontId="15" fillId="0" borderId="15" xfId="0" applyNumberFormat="1" applyFont="1" applyBorder="1" applyAlignment="1">
      <alignment horizontal="center" vertical="center" wrapText="1"/>
    </xf>
    <xf numFmtId="3" fontId="15" fillId="0" borderId="20" xfId="0" applyNumberFormat="1" applyFont="1" applyBorder="1" applyAlignment="1">
      <alignment horizontal="center" vertical="center" wrapText="1"/>
    </xf>
    <xf numFmtId="3" fontId="14" fillId="0" borderId="5" xfId="1" applyNumberFormat="1" applyFont="1" applyBorder="1" applyAlignment="1">
      <alignment vertical="top" wrapText="1"/>
    </xf>
    <xf numFmtId="3" fontId="3" fillId="0" borderId="23" xfId="1" applyNumberFormat="1" applyFont="1" applyBorder="1" applyAlignment="1">
      <alignment horizontal="center" vertical="top" wrapText="1"/>
    </xf>
    <xf numFmtId="3" fontId="11" fillId="0" borderId="16" xfId="1" applyNumberFormat="1" applyFont="1" applyBorder="1" applyAlignment="1">
      <alignment vertical="top" wrapText="1"/>
    </xf>
    <xf numFmtId="3" fontId="3" fillId="0" borderId="27" xfId="1" applyNumberFormat="1" applyFont="1" applyBorder="1" applyAlignment="1">
      <alignment horizontal="center" vertical="top" wrapText="1"/>
    </xf>
    <xf numFmtId="3" fontId="0" fillId="5" borderId="10" xfId="1" applyNumberFormat="1" applyFont="1" applyFill="1" applyBorder="1" applyAlignment="1">
      <alignment vertical="top" wrapText="1"/>
    </xf>
    <xf numFmtId="3" fontId="0" fillId="5" borderId="11" xfId="1" applyNumberFormat="1" applyFont="1" applyFill="1" applyBorder="1" applyAlignment="1">
      <alignment vertical="top" wrapText="1"/>
    </xf>
    <xf numFmtId="3" fontId="0" fillId="5" borderId="12" xfId="0" applyNumberFormat="1" applyFill="1" applyBorder="1" applyAlignment="1">
      <alignment horizontal="center" vertical="center" wrapText="1"/>
    </xf>
    <xf numFmtId="3" fontId="0" fillId="5" borderId="0" xfId="0" applyNumberFormat="1" applyFill="1" applyBorder="1" applyAlignment="1">
      <alignment horizontal="center" vertical="center" wrapText="1"/>
    </xf>
    <xf numFmtId="3" fontId="0" fillId="5" borderId="0" xfId="0" applyNumberFormat="1" applyFill="1" applyBorder="1" applyAlignment="1">
      <alignment vertical="top" wrapText="1"/>
    </xf>
    <xf numFmtId="3" fontId="0" fillId="5" borderId="0" xfId="0" applyNumberFormat="1" applyFill="1" applyAlignment="1">
      <alignment vertical="top" wrapText="1"/>
    </xf>
    <xf numFmtId="3" fontId="7" fillId="0" borderId="0" xfId="0" applyNumberFormat="1" applyFont="1" applyBorder="1" applyAlignment="1">
      <alignment horizontal="center" vertical="center" wrapText="1"/>
    </xf>
    <xf numFmtId="3" fontId="7" fillId="0" borderId="0" xfId="0" applyNumberFormat="1" applyFont="1" applyBorder="1" applyAlignment="1">
      <alignment vertical="top" wrapText="1"/>
    </xf>
    <xf numFmtId="3" fontId="0" fillId="0" borderId="16" xfId="0" applyNumberFormat="1" applyBorder="1" applyAlignment="1">
      <alignment horizontal="right" vertical="top"/>
    </xf>
    <xf numFmtId="3" fontId="0" fillId="0" borderId="6" xfId="0" applyNumberFormat="1" applyFill="1" applyBorder="1" applyAlignment="1">
      <alignment horizontal="right" vertical="top" wrapText="1"/>
    </xf>
    <xf numFmtId="3" fontId="0" fillId="0" borderId="32" xfId="0" applyNumberFormat="1" applyFill="1" applyBorder="1" applyAlignment="1">
      <alignment horizontal="right" vertical="top" wrapText="1"/>
    </xf>
    <xf numFmtId="3" fontId="0" fillId="0" borderId="16" xfId="0" applyNumberFormat="1" applyFill="1" applyBorder="1" applyAlignment="1">
      <alignment horizontal="right" vertical="top" wrapText="1"/>
    </xf>
    <xf numFmtId="3" fontId="0" fillId="0" borderId="8" xfId="0" applyNumberFormat="1" applyFill="1" applyBorder="1" applyAlignment="1">
      <alignment horizontal="right" vertical="top" wrapText="1"/>
    </xf>
    <xf numFmtId="3" fontId="17" fillId="0" borderId="16" xfId="1" applyNumberFormat="1" applyFont="1" applyBorder="1" applyAlignment="1">
      <alignment vertical="top" wrapText="1"/>
    </xf>
    <xf numFmtId="3" fontId="17" fillId="0" borderId="12" xfId="0" applyNumberFormat="1" applyFont="1" applyBorder="1" applyAlignment="1">
      <alignment horizontal="center" vertical="center" wrapText="1"/>
    </xf>
    <xf numFmtId="3" fontId="17" fillId="0" borderId="0" xfId="0" applyNumberFormat="1" applyFont="1" applyBorder="1" applyAlignment="1">
      <alignment horizontal="center" vertical="center" wrapText="1"/>
    </xf>
    <xf numFmtId="3" fontId="17" fillId="0" borderId="0" xfId="0" applyNumberFormat="1" applyFont="1" applyBorder="1" applyAlignment="1">
      <alignment vertical="top" wrapText="1"/>
    </xf>
    <xf numFmtId="3" fontId="17" fillId="0" borderId="0" xfId="0" applyNumberFormat="1" applyFont="1" applyAlignment="1">
      <alignment vertical="top" wrapText="1"/>
    </xf>
    <xf numFmtId="3" fontId="17" fillId="0" borderId="0" xfId="1" applyNumberFormat="1" applyFont="1" applyBorder="1" applyAlignment="1">
      <alignment vertical="top" wrapText="1"/>
    </xf>
    <xf numFmtId="3" fontId="15" fillId="0" borderId="18" xfId="0" applyNumberFormat="1" applyFont="1" applyFill="1" applyBorder="1" applyAlignment="1">
      <alignment horizontal="center" vertical="center" wrapText="1"/>
    </xf>
    <xf numFmtId="3" fontId="15" fillId="5" borderId="15" xfId="0" applyNumberFormat="1" applyFont="1" applyFill="1" applyBorder="1" applyAlignment="1">
      <alignment horizontal="center" vertical="center" wrapText="1"/>
    </xf>
    <xf numFmtId="3" fontId="3" fillId="8" borderId="4" xfId="0" applyNumberFormat="1" applyFont="1" applyFill="1" applyBorder="1" applyAlignment="1">
      <alignment vertical="top" wrapText="1"/>
    </xf>
    <xf numFmtId="3" fontId="6" fillId="8" borderId="21" xfId="1" applyNumberFormat="1" applyFont="1" applyFill="1" applyBorder="1" applyAlignment="1">
      <alignment vertical="top" wrapText="1"/>
    </xf>
    <xf numFmtId="3" fontId="6" fillId="8" borderId="28" xfId="1" applyNumberFormat="1" applyFont="1" applyFill="1" applyBorder="1" applyAlignment="1">
      <alignment vertical="top" wrapText="1"/>
    </xf>
    <xf numFmtId="3" fontId="3" fillId="8" borderId="21" xfId="1" applyNumberFormat="1" applyFont="1" applyFill="1" applyBorder="1" applyAlignment="1">
      <alignment vertical="top" wrapText="1"/>
    </xf>
    <xf numFmtId="3" fontId="0" fillId="8" borderId="11" xfId="1" applyNumberFormat="1" applyFont="1" applyFill="1" applyBorder="1" applyAlignment="1">
      <alignment vertical="top" wrapText="1"/>
    </xf>
    <xf numFmtId="3" fontId="15" fillId="8" borderId="4" xfId="0" applyNumberFormat="1" applyFont="1" applyFill="1" applyBorder="1" applyAlignment="1">
      <alignment horizontal="center" vertical="center" wrapText="1"/>
    </xf>
    <xf numFmtId="3" fontId="15" fillId="8" borderId="5" xfId="0" applyNumberFormat="1" applyFont="1" applyFill="1" applyBorder="1" applyAlignment="1">
      <alignment horizontal="center" vertical="center" wrapText="1"/>
    </xf>
    <xf numFmtId="3" fontId="20" fillId="8" borderId="7" xfId="2" applyNumberFormat="1" applyFont="1" applyFill="1" applyBorder="1" applyAlignment="1">
      <alignment vertical="top" wrapText="1"/>
    </xf>
    <xf numFmtId="3" fontId="6" fillId="8" borderId="30" xfId="1" applyNumberFormat="1" applyFont="1" applyFill="1" applyBorder="1" applyAlignment="1">
      <alignment vertical="top" wrapText="1"/>
    </xf>
    <xf numFmtId="3" fontId="6" fillId="8" borderId="5" xfId="1" applyNumberFormat="1" applyFont="1" applyFill="1" applyBorder="1" applyAlignment="1">
      <alignment vertical="top" wrapText="1"/>
    </xf>
    <xf numFmtId="3" fontId="0" fillId="8" borderId="10" xfId="1" applyNumberFormat="1" applyFont="1" applyFill="1" applyBorder="1" applyAlignment="1">
      <alignment vertical="top" wrapText="1"/>
    </xf>
    <xf numFmtId="3" fontId="15" fillId="8" borderId="7" xfId="0" applyNumberFormat="1" applyFont="1" applyFill="1" applyBorder="1" applyAlignment="1">
      <alignment horizontal="center" vertical="center" wrapText="1"/>
    </xf>
    <xf numFmtId="3" fontId="15" fillId="8" borderId="9" xfId="0" applyNumberFormat="1" applyFont="1" applyFill="1" applyBorder="1" applyAlignment="1">
      <alignment horizontal="center" vertical="center" wrapText="1"/>
    </xf>
    <xf numFmtId="3" fontId="9" fillId="8" borderId="40" xfId="0" applyNumberFormat="1" applyFont="1" applyFill="1" applyBorder="1" applyAlignment="1">
      <alignment vertical="top" wrapText="1"/>
    </xf>
    <xf numFmtId="3" fontId="10" fillId="8" borderId="34" xfId="1" applyNumberFormat="1" applyFont="1" applyFill="1" applyBorder="1" applyAlignment="1">
      <alignment vertical="top" wrapText="1"/>
    </xf>
    <xf numFmtId="3" fontId="10" fillId="8" borderId="35" xfId="1" applyNumberFormat="1" applyFont="1" applyFill="1" applyBorder="1" applyAlignment="1">
      <alignment vertical="top" wrapText="1"/>
    </xf>
    <xf numFmtId="3" fontId="9" fillId="8" borderId="39" xfId="1" applyNumberFormat="1" applyFont="1" applyFill="1" applyBorder="1" applyAlignment="1">
      <alignment vertical="top" wrapText="1"/>
    </xf>
    <xf numFmtId="3" fontId="15" fillId="8" borderId="38" xfId="0" applyNumberFormat="1" applyFont="1" applyFill="1" applyBorder="1" applyAlignment="1">
      <alignment horizontal="center" vertical="center" wrapText="1"/>
    </xf>
    <xf numFmtId="3" fontId="15" fillId="8" borderId="35" xfId="0" applyNumberFormat="1" applyFont="1" applyFill="1" applyBorder="1" applyAlignment="1">
      <alignment horizontal="center" vertical="center" wrapText="1"/>
    </xf>
    <xf numFmtId="3" fontId="20" fillId="8" borderId="4" xfId="2" applyNumberFormat="1" applyFont="1" applyFill="1" applyBorder="1" applyAlignment="1">
      <alignment vertical="top" wrapText="1"/>
    </xf>
    <xf numFmtId="3" fontId="22" fillId="8" borderId="21" xfId="1" applyNumberFormat="1" applyFont="1" applyFill="1" applyBorder="1" applyAlignment="1">
      <alignment vertical="top" wrapText="1"/>
    </xf>
    <xf numFmtId="3" fontId="22" fillId="8" borderId="9" xfId="1" applyNumberFormat="1" applyFont="1" applyFill="1" applyBorder="1" applyAlignment="1">
      <alignment vertical="top" wrapText="1"/>
    </xf>
    <xf numFmtId="3" fontId="21" fillId="8" borderId="21" xfId="1" applyNumberFormat="1" applyFont="1" applyFill="1" applyBorder="1" applyAlignment="1">
      <alignment vertical="top" wrapText="1"/>
    </xf>
    <xf numFmtId="3" fontId="9" fillId="8" borderId="38" xfId="0" applyNumberFormat="1" applyFont="1" applyFill="1" applyBorder="1" applyAlignment="1">
      <alignment vertical="top" wrapText="1"/>
    </xf>
    <xf numFmtId="3" fontId="10" fillId="8" borderId="39" xfId="1" applyNumberFormat="1" applyFont="1" applyFill="1" applyBorder="1" applyAlignment="1">
      <alignment vertical="top" wrapText="1"/>
    </xf>
    <xf numFmtId="3" fontId="9" fillId="8" borderId="35" xfId="1" applyNumberFormat="1" applyFont="1" applyFill="1" applyBorder="1" applyAlignment="1">
      <alignment vertical="top" wrapText="1"/>
    </xf>
    <xf numFmtId="3" fontId="9" fillId="8" borderId="34" xfId="1" applyNumberFormat="1" applyFont="1" applyFill="1" applyBorder="1" applyAlignment="1">
      <alignment vertical="top" wrapText="1"/>
    </xf>
    <xf numFmtId="3" fontId="0" fillId="8" borderId="39" xfId="1" applyNumberFormat="1" applyFont="1" applyFill="1" applyBorder="1" applyAlignment="1">
      <alignment vertical="top" wrapText="1"/>
    </xf>
    <xf numFmtId="3" fontId="19" fillId="8" borderId="35" xfId="1" applyNumberFormat="1" applyFont="1" applyFill="1" applyBorder="1" applyAlignment="1">
      <alignment vertical="top" wrapText="1"/>
    </xf>
    <xf numFmtId="3" fontId="0" fillId="8" borderId="34" xfId="1" applyNumberFormat="1" applyFont="1" applyFill="1" applyBorder="1" applyAlignment="1">
      <alignment vertical="top" wrapText="1"/>
    </xf>
    <xf numFmtId="3" fontId="0" fillId="8" borderId="35" xfId="0" applyNumberFormat="1" applyFill="1" applyBorder="1" applyAlignment="1">
      <alignment horizontal="right" vertical="top" wrapText="1"/>
    </xf>
    <xf numFmtId="3" fontId="19" fillId="8" borderId="35" xfId="0" applyNumberFormat="1" applyFont="1" applyFill="1" applyBorder="1" applyAlignment="1">
      <alignment horizontal="right" vertical="top" wrapText="1"/>
    </xf>
    <xf numFmtId="3" fontId="9" fillId="8" borderId="35" xfId="0" applyNumberFormat="1" applyFont="1" applyFill="1" applyBorder="1" applyAlignment="1">
      <alignment horizontal="right" vertical="top" wrapText="1"/>
    </xf>
    <xf numFmtId="3" fontId="0" fillId="8" borderId="36" xfId="0" applyNumberFormat="1" applyFill="1" applyBorder="1" applyAlignment="1">
      <alignment horizontal="right" vertical="top" wrapText="1"/>
    </xf>
    <xf numFmtId="3" fontId="15" fillId="8" borderId="37" xfId="0" applyNumberFormat="1" applyFont="1" applyFill="1" applyBorder="1" applyAlignment="1">
      <alignment horizontal="center" vertical="center" wrapText="1"/>
    </xf>
    <xf numFmtId="3" fontId="13" fillId="8" borderId="33" xfId="0" applyNumberFormat="1" applyFont="1" applyFill="1" applyBorder="1" applyAlignment="1">
      <alignment vertical="top" wrapText="1"/>
    </xf>
    <xf numFmtId="3" fontId="13" fillId="8" borderId="33" xfId="0" applyNumberFormat="1" applyFont="1" applyFill="1" applyBorder="1" applyAlignment="1">
      <alignment horizontal="center" vertical="center" wrapText="1"/>
    </xf>
    <xf numFmtId="3" fontId="13" fillId="8" borderId="0" xfId="0" applyNumberFormat="1" applyFont="1" applyFill="1" applyBorder="1" applyAlignment="1">
      <alignment horizontal="center" vertical="center" wrapText="1"/>
    </xf>
    <xf numFmtId="3" fontId="3" fillId="8" borderId="14" xfId="0" applyNumberFormat="1" applyFont="1" applyFill="1" applyBorder="1" applyAlignment="1">
      <alignment horizontal="left" vertical="top" wrapText="1"/>
    </xf>
    <xf numFmtId="3" fontId="3" fillId="8" borderId="29" xfId="1" applyNumberFormat="1" applyFont="1" applyFill="1" applyBorder="1" applyAlignment="1">
      <alignment horizontal="center" vertical="top" wrapText="1"/>
    </xf>
    <xf numFmtId="3" fontId="18" fillId="8" borderId="7" xfId="2" applyNumberFormat="1" applyFill="1" applyBorder="1" applyAlignment="1">
      <alignment vertical="top" wrapText="1"/>
    </xf>
    <xf numFmtId="3" fontId="14" fillId="8" borderId="30" xfId="1" applyNumberFormat="1" applyFont="1" applyFill="1" applyBorder="1" applyAlignment="1">
      <alignment vertical="top" wrapText="1"/>
    </xf>
    <xf numFmtId="3" fontId="18" fillId="8" borderId="4" xfId="2" applyNumberFormat="1" applyFill="1" applyBorder="1" applyAlignment="1">
      <alignment vertical="top" wrapText="1"/>
    </xf>
    <xf numFmtId="3" fontId="14" fillId="8" borderId="21" xfId="1" applyNumberFormat="1" applyFont="1" applyFill="1" applyBorder="1" applyAlignment="1">
      <alignment vertical="top" wrapText="1"/>
    </xf>
    <xf numFmtId="3" fontId="0" fillId="8" borderId="41" xfId="0" applyNumberFormat="1" applyFill="1" applyBorder="1" applyAlignment="1">
      <alignment vertical="top" wrapText="1"/>
    </xf>
    <xf numFmtId="3" fontId="4" fillId="8" borderId="29" xfId="1" applyNumberFormat="1" applyFont="1" applyFill="1" applyBorder="1" applyAlignment="1">
      <alignment vertical="top" wrapText="1"/>
    </xf>
    <xf numFmtId="3" fontId="14" fillId="8" borderId="4" xfId="0" applyNumberFormat="1" applyFont="1" applyFill="1" applyBorder="1" applyAlignment="1">
      <alignment vertical="top" wrapText="1"/>
    </xf>
    <xf numFmtId="3" fontId="18" fillId="8" borderId="14" xfId="2" applyNumberFormat="1" applyFill="1" applyBorder="1" applyAlignment="1">
      <alignment vertical="top" wrapText="1"/>
    </xf>
    <xf numFmtId="3" fontId="14" fillId="8" borderId="29" xfId="1" applyNumberFormat="1" applyFont="1" applyFill="1" applyBorder="1" applyAlignment="1">
      <alignment vertical="top" wrapText="1"/>
    </xf>
    <xf numFmtId="3" fontId="18" fillId="8" borderId="14" xfId="2" applyNumberFormat="1" applyFont="1" applyFill="1" applyBorder="1" applyAlignment="1">
      <alignment vertical="top" wrapText="1"/>
    </xf>
    <xf numFmtId="3" fontId="14" fillId="8" borderId="0" xfId="1" applyNumberFormat="1" applyFont="1" applyFill="1" applyBorder="1" applyAlignment="1">
      <alignment vertical="top" wrapText="1"/>
    </xf>
    <xf numFmtId="3" fontId="0" fillId="8" borderId="30" xfId="1" applyNumberFormat="1" applyFont="1" applyFill="1" applyBorder="1" applyAlignment="1">
      <alignment vertical="top" wrapText="1"/>
    </xf>
    <xf numFmtId="3" fontId="0" fillId="8" borderId="7" xfId="0" applyNumberFormat="1" applyFill="1" applyBorder="1" applyAlignment="1">
      <alignment vertical="top" wrapText="1"/>
    </xf>
    <xf numFmtId="3" fontId="0" fillId="8" borderId="21" xfId="1" applyNumberFormat="1" applyFont="1" applyFill="1" applyBorder="1" applyAlignment="1">
      <alignment vertical="top" wrapText="1"/>
    </xf>
    <xf numFmtId="3" fontId="0" fillId="8" borderId="4" xfId="0" applyNumberFormat="1" applyFill="1" applyBorder="1" applyAlignment="1">
      <alignment vertical="top" wrapText="1"/>
    </xf>
    <xf numFmtId="3" fontId="11" fillId="8" borderId="4" xfId="0" applyNumberFormat="1" applyFont="1" applyFill="1" applyBorder="1" applyAlignment="1">
      <alignment vertical="top" wrapText="1"/>
    </xf>
    <xf numFmtId="3" fontId="11" fillId="8" borderId="21" xfId="1" applyNumberFormat="1" applyFont="1" applyFill="1" applyBorder="1" applyAlignment="1">
      <alignment vertical="top" wrapText="1"/>
    </xf>
    <xf numFmtId="3" fontId="0" fillId="8" borderId="14" xfId="0" applyNumberFormat="1" applyFill="1" applyBorder="1" applyAlignment="1">
      <alignment vertical="top" wrapText="1"/>
    </xf>
    <xf numFmtId="3" fontId="3" fillId="8" borderId="29" xfId="1" applyNumberFormat="1" applyFont="1" applyFill="1" applyBorder="1" applyAlignment="1">
      <alignment vertical="top" wrapText="1"/>
    </xf>
    <xf numFmtId="3" fontId="0" fillId="8" borderId="29" xfId="1" applyNumberFormat="1" applyFont="1" applyFill="1" applyBorder="1" applyAlignment="1">
      <alignment vertical="top" wrapText="1"/>
    </xf>
    <xf numFmtId="0" fontId="0" fillId="8" borderId="7" xfId="0" applyFill="1" applyBorder="1" applyAlignment="1">
      <alignment horizontal="left" vertical="top" wrapText="1"/>
    </xf>
    <xf numFmtId="3" fontId="0" fillId="8" borderId="30" xfId="0" applyNumberFormat="1" applyFill="1" applyBorder="1" applyAlignment="1">
      <alignment horizontal="right" vertical="top" wrapText="1"/>
    </xf>
    <xf numFmtId="0" fontId="0" fillId="8" borderId="4" xfId="0" applyFill="1" applyBorder="1" applyAlignment="1">
      <alignment horizontal="left" vertical="top" wrapText="1"/>
    </xf>
    <xf numFmtId="3" fontId="0" fillId="8" borderId="21" xfId="0" applyNumberFormat="1" applyFill="1" applyBorder="1" applyAlignment="1">
      <alignment horizontal="right" vertical="top" wrapText="1"/>
    </xf>
    <xf numFmtId="0" fontId="0" fillId="8" borderId="4" xfId="0" applyFill="1" applyBorder="1" applyAlignment="1">
      <alignment vertical="top"/>
    </xf>
    <xf numFmtId="3" fontId="0" fillId="8" borderId="21" xfId="0" applyNumberFormat="1" applyFill="1" applyBorder="1" applyAlignment="1">
      <alignment horizontal="right" vertical="top"/>
    </xf>
    <xf numFmtId="0" fontId="0" fillId="8" borderId="14" xfId="0" applyFill="1" applyBorder="1" applyAlignment="1">
      <alignment horizontal="left" vertical="top" wrapText="1"/>
    </xf>
    <xf numFmtId="3" fontId="0" fillId="8" borderId="29" xfId="0" applyNumberFormat="1" applyFill="1" applyBorder="1" applyAlignment="1">
      <alignment horizontal="right" vertical="top"/>
    </xf>
    <xf numFmtId="3" fontId="0" fillId="8" borderId="29" xfId="0" applyNumberFormat="1" applyFill="1" applyBorder="1" applyAlignment="1">
      <alignment horizontal="right" vertical="top" wrapText="1"/>
    </xf>
    <xf numFmtId="3" fontId="14" fillId="8" borderId="48" xfId="1" applyNumberFormat="1" applyFont="1" applyFill="1" applyBorder="1" applyAlignment="1">
      <alignment vertical="top" wrapText="1"/>
    </xf>
    <xf numFmtId="3" fontId="3" fillId="8" borderId="15" xfId="1" applyNumberFormat="1" applyFont="1" applyFill="1" applyBorder="1" applyAlignment="1">
      <alignment horizontal="center" vertical="top" wrapText="1"/>
    </xf>
    <xf numFmtId="3" fontId="3" fillId="8" borderId="6" xfId="0" applyNumberFormat="1" applyFont="1" applyFill="1" applyBorder="1" applyAlignment="1">
      <alignment vertical="top" wrapText="1"/>
    </xf>
    <xf numFmtId="3" fontId="3" fillId="8" borderId="17" xfId="0" applyNumberFormat="1" applyFont="1" applyFill="1" applyBorder="1" applyAlignment="1">
      <alignment vertical="top" wrapText="1"/>
    </xf>
    <xf numFmtId="3" fontId="3" fillId="8" borderId="46" xfId="0" applyNumberFormat="1" applyFont="1" applyFill="1" applyBorder="1" applyAlignment="1">
      <alignment vertical="top" wrapText="1"/>
    </xf>
    <xf numFmtId="3" fontId="15" fillId="0" borderId="7" xfId="0" applyNumberFormat="1" applyFont="1" applyBorder="1" applyAlignment="1" applyProtection="1">
      <alignment horizontal="center" vertical="center" wrapText="1"/>
      <protection locked="0"/>
    </xf>
    <xf numFmtId="3" fontId="15" fillId="0" borderId="9" xfId="0" applyNumberFormat="1" applyFont="1" applyBorder="1" applyAlignment="1" applyProtection="1">
      <alignment horizontal="center" vertical="center" wrapText="1"/>
      <protection locked="0"/>
    </xf>
    <xf numFmtId="3" fontId="14" fillId="0" borderId="9" xfId="1" applyNumberFormat="1" applyFont="1" applyBorder="1" applyAlignment="1" applyProtection="1">
      <alignment vertical="top" wrapText="1"/>
      <protection locked="0"/>
    </xf>
    <xf numFmtId="3" fontId="14" fillId="0" borderId="5" xfId="1" applyNumberFormat="1" applyFont="1" applyBorder="1" applyAlignment="1" applyProtection="1">
      <alignment vertical="top" wrapText="1"/>
      <protection locked="0"/>
    </xf>
    <xf numFmtId="3" fontId="14" fillId="0" borderId="28" xfId="1" applyNumberFormat="1" applyFont="1" applyBorder="1" applyAlignment="1" applyProtection="1">
      <alignment vertical="top" wrapText="1"/>
      <protection locked="0"/>
    </xf>
    <xf numFmtId="3" fontId="0" fillId="0" borderId="9" xfId="1" applyNumberFormat="1" applyFont="1" applyBorder="1" applyAlignment="1" applyProtection="1">
      <alignment vertical="top" wrapText="1"/>
      <protection locked="0"/>
    </xf>
    <xf numFmtId="3" fontId="0" fillId="0" borderId="5" xfId="1" applyNumberFormat="1" applyFont="1" applyBorder="1" applyAlignment="1" applyProtection="1">
      <alignment vertical="top" wrapText="1"/>
      <protection locked="0"/>
    </xf>
    <xf numFmtId="3" fontId="0" fillId="0" borderId="15" xfId="1" applyNumberFormat="1" applyFont="1" applyBorder="1" applyAlignment="1" applyProtection="1">
      <alignment vertical="top" wrapText="1"/>
      <protection locked="0"/>
    </xf>
    <xf numFmtId="3" fontId="0" fillId="0" borderId="9" xfId="0" applyNumberFormat="1" applyFill="1" applyBorder="1" applyAlignment="1" applyProtection="1">
      <alignment horizontal="right" vertical="top" wrapText="1"/>
      <protection locked="0"/>
    </xf>
    <xf numFmtId="0" fontId="0" fillId="0" borderId="10" xfId="0" applyBorder="1" applyAlignment="1" applyProtection="1">
      <alignment horizontal="left" vertical="top" wrapText="1"/>
      <protection locked="0"/>
    </xf>
    <xf numFmtId="0" fontId="0" fillId="0" borderId="11" xfId="0" applyBorder="1" applyAlignment="1" applyProtection="1">
      <alignment horizontal="left" vertical="top" wrapText="1"/>
      <protection locked="0"/>
    </xf>
    <xf numFmtId="0" fontId="0" fillId="0" borderId="31" xfId="0" applyBorder="1" applyAlignment="1" applyProtection="1">
      <alignment horizontal="left" vertical="top" wrapText="1"/>
      <protection locked="0"/>
    </xf>
    <xf numFmtId="3" fontId="15" fillId="0" borderId="7" xfId="0" applyNumberFormat="1" applyFont="1" applyFill="1" applyBorder="1" applyAlignment="1" applyProtection="1">
      <alignment horizontal="center" vertical="center" wrapText="1"/>
      <protection locked="0"/>
    </xf>
    <xf numFmtId="3" fontId="15" fillId="0" borderId="9" xfId="0" applyNumberFormat="1" applyFont="1" applyFill="1" applyBorder="1" applyAlignment="1" applyProtection="1">
      <alignment horizontal="center" vertical="center" wrapText="1"/>
      <protection locked="0"/>
    </xf>
    <xf numFmtId="3" fontId="15" fillId="0" borderId="4" xfId="0" applyNumberFormat="1" applyFont="1" applyBorder="1" applyAlignment="1" applyProtection="1">
      <alignment horizontal="center" vertical="center" wrapText="1"/>
      <protection locked="0"/>
    </xf>
    <xf numFmtId="3" fontId="15" fillId="0" borderId="5" xfId="0" applyNumberFormat="1" applyFont="1" applyBorder="1" applyAlignment="1" applyProtection="1">
      <alignment horizontal="center" vertical="center" wrapText="1"/>
      <protection locked="0"/>
    </xf>
    <xf numFmtId="3" fontId="6" fillId="4" borderId="4" xfId="0" applyNumberFormat="1" applyFont="1" applyFill="1" applyBorder="1" applyAlignment="1" applyProtection="1">
      <alignment vertical="top" wrapText="1"/>
      <protection locked="0"/>
    </xf>
    <xf numFmtId="3" fontId="6" fillId="4" borderId="5" xfId="0" applyNumberFormat="1" applyFont="1" applyFill="1" applyBorder="1" applyAlignment="1" applyProtection="1">
      <alignment vertical="top" wrapText="1"/>
      <protection locked="0"/>
    </xf>
    <xf numFmtId="3" fontId="6" fillId="4" borderId="15" xfId="0" applyNumberFormat="1" applyFont="1" applyFill="1" applyBorder="1" applyAlignment="1" applyProtection="1">
      <alignment vertical="top" wrapText="1"/>
      <protection locked="0"/>
    </xf>
    <xf numFmtId="3" fontId="6" fillId="3" borderId="18" xfId="0" applyNumberFormat="1" applyFont="1" applyFill="1" applyBorder="1" applyAlignment="1" applyProtection="1">
      <alignment vertical="top" wrapText="1"/>
      <protection locked="0"/>
    </xf>
    <xf numFmtId="3" fontId="6" fillId="3" borderId="5" xfId="0" applyNumberFormat="1" applyFont="1" applyFill="1" applyBorder="1" applyAlignment="1" applyProtection="1">
      <alignment vertical="top" wrapText="1"/>
      <protection locked="0"/>
    </xf>
    <xf numFmtId="3" fontId="6" fillId="3" borderId="42" xfId="0" applyNumberFormat="1" applyFont="1" applyFill="1" applyBorder="1" applyAlignment="1" applyProtection="1">
      <alignment vertical="top" wrapText="1"/>
      <protection locked="0"/>
    </xf>
    <xf numFmtId="3" fontId="6" fillId="3" borderId="43" xfId="0" applyNumberFormat="1" applyFont="1" applyFill="1" applyBorder="1" applyAlignment="1" applyProtection="1">
      <alignment vertical="top" wrapText="1"/>
      <protection locked="0"/>
    </xf>
    <xf numFmtId="3" fontId="6" fillId="2" borderId="4" xfId="0" applyNumberFormat="1" applyFont="1" applyFill="1" applyBorder="1" applyAlignment="1" applyProtection="1">
      <alignment vertical="top" wrapText="1"/>
      <protection locked="0"/>
    </xf>
    <xf numFmtId="3" fontId="6" fillId="2" borderId="5" xfId="0" applyNumberFormat="1" applyFont="1" applyFill="1" applyBorder="1" applyAlignment="1" applyProtection="1">
      <alignment vertical="top" wrapText="1"/>
      <protection locked="0"/>
    </xf>
    <xf numFmtId="3" fontId="6" fillId="2" borderId="43" xfId="0" applyNumberFormat="1" applyFont="1" applyFill="1" applyBorder="1" applyAlignment="1" applyProtection="1">
      <alignment vertical="top" wrapText="1"/>
      <protection locked="0"/>
    </xf>
    <xf numFmtId="3" fontId="6" fillId="6" borderId="4" xfId="0" applyNumberFormat="1" applyFont="1" applyFill="1" applyBorder="1" applyAlignment="1" applyProtection="1">
      <alignment vertical="top" wrapText="1"/>
      <protection locked="0"/>
    </xf>
    <xf numFmtId="3" fontId="6" fillId="6" borderId="5" xfId="0" applyNumberFormat="1" applyFont="1" applyFill="1" applyBorder="1" applyAlignment="1" applyProtection="1">
      <alignment vertical="top" wrapText="1"/>
      <protection locked="0"/>
    </xf>
    <xf numFmtId="3" fontId="6" fillId="6" borderId="43" xfId="0" applyNumberFormat="1" applyFont="1" applyFill="1" applyBorder="1" applyAlignment="1" applyProtection="1">
      <alignment vertical="top" wrapText="1"/>
      <protection locked="0"/>
    </xf>
    <xf numFmtId="3" fontId="3" fillId="0" borderId="26" xfId="1" applyNumberFormat="1" applyFont="1" applyBorder="1" applyAlignment="1" applyProtection="1">
      <alignment horizontal="center" vertical="top" wrapText="1"/>
      <protection locked="0"/>
    </xf>
    <xf numFmtId="3" fontId="3" fillId="0" borderId="23" xfId="1" applyNumberFormat="1" applyFont="1" applyBorder="1" applyAlignment="1" applyProtection="1">
      <alignment horizontal="center" vertical="top" wrapText="1"/>
      <protection locked="0"/>
    </xf>
    <xf numFmtId="3" fontId="15" fillId="8" borderId="35" xfId="0" applyNumberFormat="1" applyFont="1" applyFill="1" applyBorder="1" applyAlignment="1" applyProtection="1">
      <alignment horizontal="center" vertical="center" wrapText="1"/>
    </xf>
    <xf numFmtId="3" fontId="15" fillId="8" borderId="9" xfId="0" applyNumberFormat="1" applyFont="1" applyFill="1" applyBorder="1" applyAlignment="1" applyProtection="1">
      <alignment horizontal="center" vertical="center" wrapText="1"/>
    </xf>
    <xf numFmtId="3" fontId="15" fillId="8" borderId="17" xfId="0" applyNumberFormat="1" applyFont="1" applyFill="1" applyBorder="1" applyAlignment="1" applyProtection="1">
      <alignment horizontal="center" vertical="center" wrapText="1"/>
    </xf>
    <xf numFmtId="3" fontId="15" fillId="8" borderId="5" xfId="0" applyNumberFormat="1" applyFont="1" applyFill="1" applyBorder="1" applyAlignment="1" applyProtection="1">
      <alignment horizontal="center" vertical="center" wrapText="1"/>
    </xf>
    <xf numFmtId="3" fontId="15" fillId="8" borderId="6" xfId="0" applyNumberFormat="1" applyFont="1" applyFill="1" applyBorder="1" applyAlignment="1" applyProtection="1">
      <alignment horizontal="center" vertical="center" wrapText="1"/>
    </xf>
    <xf numFmtId="3" fontId="15" fillId="8" borderId="36" xfId="0" applyNumberFormat="1" applyFont="1" applyFill="1" applyBorder="1" applyAlignment="1" applyProtection="1">
      <alignment horizontal="center" vertical="center" wrapText="1"/>
    </xf>
    <xf numFmtId="3" fontId="13" fillId="8" borderId="33" xfId="0" applyNumberFormat="1" applyFont="1" applyFill="1" applyBorder="1" applyAlignment="1" applyProtection="1">
      <alignment horizontal="center" vertical="center" wrapText="1"/>
    </xf>
    <xf numFmtId="3" fontId="3" fillId="8" borderId="6" xfId="0" applyNumberFormat="1" applyFont="1" applyFill="1" applyBorder="1" applyAlignment="1" applyProtection="1">
      <alignment vertical="top" wrapText="1"/>
    </xf>
    <xf numFmtId="3" fontId="3" fillId="8" borderId="17" xfId="0" applyNumberFormat="1" applyFont="1" applyFill="1" applyBorder="1" applyAlignment="1" applyProtection="1">
      <alignment vertical="top" wrapText="1"/>
    </xf>
    <xf numFmtId="3" fontId="15" fillId="8" borderId="3" xfId="0" applyNumberFormat="1" applyFont="1" applyFill="1" applyBorder="1" applyAlignment="1" applyProtection="1">
      <alignment horizontal="center" vertical="center" wrapText="1"/>
    </xf>
    <xf numFmtId="3" fontId="15" fillId="8" borderId="8" xfId="0" applyNumberFormat="1" applyFont="1" applyFill="1" applyBorder="1" applyAlignment="1" applyProtection="1">
      <alignment horizontal="center" vertical="center" wrapText="1"/>
    </xf>
    <xf numFmtId="3" fontId="6" fillId="6" borderId="41" xfId="0" applyNumberFormat="1" applyFont="1" applyFill="1" applyBorder="1" applyAlignment="1" applyProtection="1">
      <alignment vertical="top" wrapText="1"/>
      <protection locked="0"/>
    </xf>
    <xf numFmtId="3" fontId="15" fillId="0" borderId="4" xfId="0" applyNumberFormat="1" applyFont="1" applyFill="1" applyBorder="1" applyAlignment="1">
      <alignment horizontal="center" vertical="center" wrapText="1"/>
    </xf>
    <xf numFmtId="3" fontId="15" fillId="0" borderId="49" xfId="0" applyNumberFormat="1" applyFont="1" applyFill="1" applyBorder="1" applyAlignment="1" applyProtection="1">
      <alignment horizontal="center" vertical="center" wrapText="1"/>
      <protection locked="0"/>
    </xf>
    <xf numFmtId="3" fontId="15" fillId="0" borderId="50" xfId="0" applyNumberFormat="1" applyFont="1" applyFill="1" applyBorder="1" applyAlignment="1" applyProtection="1">
      <alignment horizontal="center" vertical="center" wrapText="1"/>
      <protection locked="0"/>
    </xf>
    <xf numFmtId="3" fontId="15" fillId="8" borderId="51" xfId="0" applyNumberFormat="1" applyFont="1" applyFill="1" applyBorder="1" applyAlignment="1" applyProtection="1">
      <alignment horizontal="center" vertical="center" wrapText="1"/>
    </xf>
    <xf numFmtId="0" fontId="9" fillId="8" borderId="38" xfId="0" applyFont="1" applyFill="1" applyBorder="1" applyAlignment="1">
      <alignment horizontal="left" vertical="top" wrapText="1"/>
    </xf>
    <xf numFmtId="0" fontId="0" fillId="0" borderId="7" xfId="0" applyBorder="1" applyAlignment="1" applyProtection="1">
      <alignment horizontal="left" vertical="top" wrapText="1"/>
      <protection locked="0"/>
    </xf>
    <xf numFmtId="0" fontId="0" fillId="0" borderId="4" xfId="0" applyBorder="1" applyAlignment="1" applyProtection="1">
      <alignment horizontal="left" vertical="top" wrapText="1"/>
      <protection locked="0"/>
    </xf>
    <xf numFmtId="0" fontId="0" fillId="0" borderId="52" xfId="0" applyBorder="1" applyAlignment="1" applyProtection="1">
      <alignment horizontal="left" vertical="top" wrapText="1"/>
      <protection locked="0"/>
    </xf>
    <xf numFmtId="14" fontId="0" fillId="0" borderId="0" xfId="0" applyNumberFormat="1"/>
    <xf numFmtId="0" fontId="17" fillId="0" borderId="0" xfId="0" applyFont="1"/>
    <xf numFmtId="3" fontId="9" fillId="0" borderId="38" xfId="0" applyNumberFormat="1" applyFont="1" applyFill="1" applyBorder="1" applyAlignment="1">
      <alignment vertical="top" wrapText="1"/>
    </xf>
    <xf numFmtId="3" fontId="10" fillId="0" borderId="39" xfId="1" applyNumberFormat="1" applyFont="1" applyFill="1" applyBorder="1" applyAlignment="1">
      <alignment vertical="top" wrapText="1"/>
    </xf>
    <xf numFmtId="3" fontId="10" fillId="0" borderId="35" xfId="1" applyNumberFormat="1" applyFont="1" applyFill="1" applyBorder="1" applyAlignment="1">
      <alignment vertical="top" wrapText="1"/>
    </xf>
    <xf numFmtId="3" fontId="9" fillId="0" borderId="39" xfId="1" applyNumberFormat="1" applyFont="1" applyFill="1" applyBorder="1" applyAlignment="1">
      <alignment vertical="top" wrapText="1"/>
    </xf>
    <xf numFmtId="3" fontId="10" fillId="0" borderId="34" xfId="1" applyNumberFormat="1" applyFont="1" applyFill="1" applyBorder="1" applyAlignment="1">
      <alignment vertical="top" wrapText="1"/>
    </xf>
    <xf numFmtId="3" fontId="15" fillId="0" borderId="38" xfId="0" applyNumberFormat="1" applyFont="1" applyFill="1" applyBorder="1" applyAlignment="1">
      <alignment horizontal="center" vertical="center" wrapText="1"/>
    </xf>
    <xf numFmtId="3" fontId="15" fillId="0" borderId="35" xfId="0" applyNumberFormat="1" applyFont="1" applyFill="1" applyBorder="1" applyAlignment="1">
      <alignment horizontal="center" vertical="center" wrapText="1"/>
    </xf>
    <xf numFmtId="3" fontId="15" fillId="0" borderId="36" xfId="0" applyNumberFormat="1" applyFont="1" applyFill="1" applyBorder="1" applyAlignment="1" applyProtection="1">
      <alignment horizontal="center" vertical="center" wrapText="1"/>
    </xf>
    <xf numFmtId="3" fontId="10" fillId="0" borderId="12" xfId="0" applyNumberFormat="1" applyFont="1" applyFill="1" applyBorder="1" applyAlignment="1">
      <alignment horizontal="center" vertical="center" wrapText="1"/>
    </xf>
    <xf numFmtId="3" fontId="10" fillId="0" borderId="0" xfId="0" applyNumberFormat="1" applyFont="1" applyFill="1" applyBorder="1" applyAlignment="1">
      <alignment horizontal="center" vertical="center" wrapText="1"/>
    </xf>
    <xf numFmtId="3" fontId="10" fillId="0" borderId="0" xfId="0" applyNumberFormat="1" applyFont="1" applyFill="1" applyBorder="1" applyAlignment="1">
      <alignment vertical="top" wrapText="1"/>
    </xf>
    <xf numFmtId="3" fontId="20" fillId="0" borderId="4" xfId="2" applyNumberFormat="1" applyFont="1" applyFill="1" applyBorder="1" applyAlignment="1">
      <alignment vertical="top" wrapText="1"/>
    </xf>
    <xf numFmtId="3" fontId="22" fillId="0" borderId="21" xfId="1" applyNumberFormat="1" applyFont="1" applyFill="1" applyBorder="1" applyAlignment="1">
      <alignment vertical="top" wrapText="1"/>
    </xf>
    <xf numFmtId="3" fontId="22" fillId="0" borderId="9" xfId="1" applyNumberFormat="1" applyFont="1" applyFill="1" applyBorder="1" applyAlignment="1">
      <alignment vertical="top" wrapText="1"/>
    </xf>
    <xf numFmtId="3" fontId="21" fillId="0" borderId="21" xfId="1" applyNumberFormat="1" applyFont="1" applyFill="1" applyBorder="1" applyAlignment="1">
      <alignment vertical="top" wrapText="1"/>
    </xf>
    <xf numFmtId="3" fontId="0" fillId="0" borderId="11" xfId="1" applyNumberFormat="1" applyFont="1" applyFill="1" applyBorder="1" applyAlignment="1">
      <alignment vertical="top" wrapText="1"/>
    </xf>
    <xf numFmtId="3" fontId="15" fillId="0" borderId="5" xfId="0" applyNumberFormat="1" applyFont="1" applyFill="1" applyBorder="1" applyAlignment="1">
      <alignment horizontal="center" vertical="center" wrapText="1"/>
    </xf>
    <xf numFmtId="3" fontId="0" fillId="0" borderId="12" xfId="0" applyNumberFormat="1" applyFill="1" applyBorder="1" applyAlignment="1">
      <alignment horizontal="center" vertical="center" wrapText="1"/>
    </xf>
    <xf numFmtId="3" fontId="0" fillId="0" borderId="0" xfId="0" applyNumberFormat="1" applyFill="1" applyBorder="1" applyAlignment="1">
      <alignment horizontal="center" vertical="center" wrapText="1"/>
    </xf>
    <xf numFmtId="3" fontId="0" fillId="0" borderId="0" xfId="0" applyNumberFormat="1" applyFill="1" applyBorder="1" applyAlignment="1">
      <alignment vertical="top" wrapText="1"/>
    </xf>
    <xf numFmtId="3" fontId="0" fillId="0" borderId="0" xfId="0" applyNumberFormat="1" applyFill="1" applyAlignment="1">
      <alignment vertical="top" wrapText="1"/>
    </xf>
    <xf numFmtId="3" fontId="9" fillId="0" borderId="40" xfId="0" applyNumberFormat="1" applyFont="1" applyFill="1" applyBorder="1" applyAlignment="1">
      <alignment vertical="top" wrapText="1"/>
    </xf>
    <xf numFmtId="3" fontId="20" fillId="0" borderId="7" xfId="2" applyNumberFormat="1" applyFont="1" applyFill="1" applyBorder="1" applyAlignment="1">
      <alignment vertical="top" wrapText="1"/>
    </xf>
    <xf numFmtId="3" fontId="6" fillId="0" borderId="30" xfId="1" applyNumberFormat="1" applyFont="1" applyFill="1" applyBorder="1" applyAlignment="1">
      <alignment vertical="top" wrapText="1"/>
    </xf>
    <xf numFmtId="3" fontId="6" fillId="0" borderId="5" xfId="1" applyNumberFormat="1" applyFont="1" applyFill="1" applyBorder="1" applyAlignment="1">
      <alignment vertical="top" wrapText="1"/>
    </xf>
    <xf numFmtId="3" fontId="3" fillId="0" borderId="21" xfId="1" applyNumberFormat="1" applyFont="1" applyFill="1" applyBorder="1" applyAlignment="1">
      <alignment vertical="top" wrapText="1"/>
    </xf>
    <xf numFmtId="3" fontId="0" fillId="0" borderId="10" xfId="1" applyNumberFormat="1" applyFont="1" applyFill="1" applyBorder="1" applyAlignment="1">
      <alignment vertical="top" wrapText="1"/>
    </xf>
    <xf numFmtId="3" fontId="15" fillId="0" borderId="7" xfId="0" applyNumberFormat="1" applyFont="1" applyFill="1" applyBorder="1" applyAlignment="1">
      <alignment horizontal="center" vertical="center" wrapText="1"/>
    </xf>
    <xf numFmtId="3" fontId="15" fillId="0" borderId="9" xfId="0" applyNumberFormat="1" applyFont="1" applyFill="1" applyBorder="1" applyAlignment="1">
      <alignment horizontal="center" vertical="center" wrapText="1"/>
    </xf>
    <xf numFmtId="3" fontId="3" fillId="0" borderId="4" xfId="0" applyNumberFormat="1" applyFont="1" applyFill="1" applyBorder="1" applyAlignment="1">
      <alignment vertical="top" wrapText="1"/>
    </xf>
    <xf numFmtId="3" fontId="6" fillId="0" borderId="21" xfId="1" applyNumberFormat="1" applyFont="1" applyFill="1" applyBorder="1" applyAlignment="1">
      <alignment vertical="top" wrapText="1"/>
    </xf>
    <xf numFmtId="3" fontId="6" fillId="0" borderId="28" xfId="1" applyNumberFormat="1" applyFont="1" applyFill="1" applyBorder="1" applyAlignment="1">
      <alignment vertical="top" wrapText="1"/>
    </xf>
    <xf numFmtId="3" fontId="9" fillId="0" borderId="35" xfId="1" applyNumberFormat="1" applyFont="1" applyFill="1" applyBorder="1" applyAlignment="1">
      <alignment vertical="top" wrapText="1"/>
    </xf>
    <xf numFmtId="3" fontId="9" fillId="0" borderId="34" xfId="1" applyNumberFormat="1" applyFont="1" applyFill="1" applyBorder="1" applyAlignment="1">
      <alignment vertical="top" wrapText="1"/>
    </xf>
    <xf numFmtId="3" fontId="9" fillId="0" borderId="12" xfId="0" applyNumberFormat="1" applyFont="1" applyFill="1" applyBorder="1" applyAlignment="1">
      <alignment horizontal="center" vertical="center" wrapText="1"/>
    </xf>
    <xf numFmtId="3" fontId="9" fillId="0" borderId="0" xfId="0" applyNumberFormat="1" applyFont="1" applyFill="1" applyBorder="1" applyAlignment="1">
      <alignment horizontal="center" vertical="center" wrapText="1"/>
    </xf>
    <xf numFmtId="3" fontId="9" fillId="0" borderId="0" xfId="0" applyNumberFormat="1" applyFont="1" applyFill="1" applyBorder="1" applyAlignment="1">
      <alignment vertical="top" wrapText="1"/>
    </xf>
    <xf numFmtId="3" fontId="0" fillId="0" borderId="39" xfId="1" applyNumberFormat="1" applyFont="1" applyFill="1" applyBorder="1" applyAlignment="1">
      <alignment vertical="top" wrapText="1"/>
    </xf>
    <xf numFmtId="3" fontId="19" fillId="0" borderId="35" xfId="1" applyNumberFormat="1" applyFont="1" applyFill="1" applyBorder="1" applyAlignment="1">
      <alignment vertical="top" wrapText="1"/>
    </xf>
    <xf numFmtId="3" fontId="0" fillId="0" borderId="34" xfId="1" applyNumberFormat="1" applyFont="1" applyFill="1" applyBorder="1" applyAlignment="1">
      <alignment vertical="top" wrapText="1"/>
    </xf>
    <xf numFmtId="0" fontId="9" fillId="0" borderId="34" xfId="0" applyFont="1" applyFill="1" applyBorder="1" applyAlignment="1">
      <alignment horizontal="left" vertical="top" wrapText="1"/>
    </xf>
    <xf numFmtId="3" fontId="0" fillId="0" borderId="35" xfId="0" applyNumberFormat="1" applyFill="1" applyBorder="1" applyAlignment="1">
      <alignment horizontal="right" vertical="top" wrapText="1"/>
    </xf>
    <xf numFmtId="3" fontId="19" fillId="0" borderId="35" xfId="0" applyNumberFormat="1" applyFont="1" applyFill="1" applyBorder="1" applyAlignment="1">
      <alignment horizontal="right" vertical="top" wrapText="1"/>
    </xf>
    <xf numFmtId="3" fontId="9" fillId="0" borderId="35" xfId="0" applyNumberFormat="1" applyFont="1" applyFill="1" applyBorder="1" applyAlignment="1">
      <alignment horizontal="right" vertical="top" wrapText="1"/>
    </xf>
    <xf numFmtId="3" fontId="0" fillId="0" borderId="36" xfId="0" applyNumberFormat="1" applyFill="1" applyBorder="1" applyAlignment="1">
      <alignment horizontal="right" vertical="top" wrapText="1"/>
    </xf>
    <xf numFmtId="3" fontId="15" fillId="0" borderId="37" xfId="0" applyNumberFormat="1" applyFont="1" applyFill="1" applyBorder="1" applyAlignment="1">
      <alignment horizontal="center" vertical="center" wrapText="1"/>
    </xf>
    <xf numFmtId="3" fontId="7" fillId="0" borderId="0" xfId="0" applyNumberFormat="1" applyFont="1" applyFill="1" applyBorder="1" applyAlignment="1">
      <alignment horizontal="center" vertical="center" wrapText="1"/>
    </xf>
    <xf numFmtId="3" fontId="7" fillId="0" borderId="0" xfId="0" applyNumberFormat="1" applyFont="1" applyFill="1" applyBorder="1" applyAlignment="1">
      <alignment vertical="top" wrapText="1"/>
    </xf>
    <xf numFmtId="3" fontId="13" fillId="0" borderId="33" xfId="0" applyNumberFormat="1" applyFont="1" applyFill="1" applyBorder="1" applyAlignment="1">
      <alignment vertical="top" wrapText="1"/>
    </xf>
    <xf numFmtId="3" fontId="13" fillId="0" borderId="33" xfId="0" applyNumberFormat="1" applyFont="1" applyFill="1" applyBorder="1" applyAlignment="1">
      <alignment horizontal="center" vertical="center" wrapText="1"/>
    </xf>
    <xf numFmtId="3" fontId="13" fillId="0" borderId="33" xfId="0" applyNumberFormat="1" applyFont="1" applyFill="1" applyBorder="1" applyAlignment="1" applyProtection="1">
      <alignment horizontal="center" vertical="center" wrapText="1"/>
    </xf>
    <xf numFmtId="3" fontId="13" fillId="0" borderId="0" xfId="0" applyNumberFormat="1" applyFont="1" applyFill="1" applyBorder="1" applyAlignment="1">
      <alignment horizontal="center" vertical="center" wrapText="1"/>
    </xf>
    <xf numFmtId="3" fontId="13" fillId="0" borderId="0" xfId="0" applyNumberFormat="1" applyFont="1" applyFill="1" applyBorder="1" applyAlignment="1">
      <alignment vertical="top" wrapText="1"/>
    </xf>
    <xf numFmtId="3" fontId="3" fillId="0" borderId="29" xfId="1" applyNumberFormat="1" applyFont="1" applyFill="1" applyBorder="1" applyAlignment="1">
      <alignment horizontal="center" vertical="top" wrapText="1"/>
    </xf>
    <xf numFmtId="3" fontId="14" fillId="0" borderId="30" xfId="1" applyNumberFormat="1" applyFont="1" applyFill="1" applyBorder="1" applyAlignment="1">
      <alignment vertical="top" wrapText="1"/>
    </xf>
    <xf numFmtId="3" fontId="14" fillId="0" borderId="21" xfId="1" applyNumberFormat="1" applyFont="1" applyFill="1" applyBorder="1" applyAlignment="1">
      <alignment vertical="top" wrapText="1"/>
    </xf>
    <xf numFmtId="3" fontId="4" fillId="0" borderId="29" xfId="1" applyNumberFormat="1" applyFont="1" applyFill="1" applyBorder="1" applyAlignment="1">
      <alignment vertical="top" wrapText="1"/>
    </xf>
    <xf numFmtId="3" fontId="14" fillId="0" borderId="29" xfId="1" applyNumberFormat="1" applyFont="1" applyFill="1" applyBorder="1" applyAlignment="1">
      <alignment vertical="top" wrapText="1"/>
    </xf>
    <xf numFmtId="3" fontId="14" fillId="0" borderId="48" xfId="1" applyNumberFormat="1" applyFont="1" applyFill="1" applyBorder="1" applyAlignment="1">
      <alignment vertical="top" wrapText="1"/>
    </xf>
    <xf numFmtId="3" fontId="0" fillId="0" borderId="30" xfId="1" applyNumberFormat="1" applyFont="1" applyFill="1" applyBorder="1" applyAlignment="1">
      <alignment vertical="top" wrapText="1"/>
    </xf>
    <xf numFmtId="3" fontId="0" fillId="0" borderId="21" xfId="1" applyNumberFormat="1" applyFont="1" applyFill="1" applyBorder="1" applyAlignment="1">
      <alignment vertical="top" wrapText="1"/>
    </xf>
    <xf numFmtId="3" fontId="11" fillId="0" borderId="21" xfId="1" applyNumberFormat="1" applyFont="1" applyFill="1" applyBorder="1" applyAlignment="1">
      <alignment vertical="top" wrapText="1"/>
    </xf>
    <xf numFmtId="3" fontId="3" fillId="0" borderId="29" xfId="1" applyNumberFormat="1" applyFont="1" applyFill="1" applyBorder="1" applyAlignment="1">
      <alignment vertical="top" wrapText="1"/>
    </xf>
    <xf numFmtId="3" fontId="0" fillId="0" borderId="29" xfId="1" applyNumberFormat="1" applyFont="1" applyFill="1" applyBorder="1" applyAlignment="1">
      <alignment vertical="top" wrapText="1"/>
    </xf>
    <xf numFmtId="3" fontId="0" fillId="0" borderId="30" xfId="0" applyNumberFormat="1" applyFill="1" applyBorder="1" applyAlignment="1">
      <alignment horizontal="right" vertical="top" wrapText="1"/>
    </xf>
    <xf numFmtId="3" fontId="0" fillId="0" borderId="21" xfId="0" applyNumberFormat="1" applyFill="1" applyBorder="1" applyAlignment="1">
      <alignment horizontal="right" vertical="top" wrapText="1"/>
    </xf>
    <xf numFmtId="3" fontId="0" fillId="0" borderId="29" xfId="0" applyNumberFormat="1" applyFill="1" applyBorder="1" applyAlignment="1">
      <alignment horizontal="right" vertical="top" wrapText="1"/>
    </xf>
    <xf numFmtId="3" fontId="15" fillId="0" borderId="17" xfId="0" applyNumberFormat="1" applyFont="1" applyFill="1" applyBorder="1" applyAlignment="1" applyProtection="1">
      <alignment horizontal="center" vertical="center" wrapText="1"/>
    </xf>
    <xf numFmtId="3" fontId="15" fillId="0" borderId="6" xfId="0" applyNumberFormat="1" applyFont="1" applyFill="1" applyBorder="1" applyAlignment="1" applyProtection="1">
      <alignment horizontal="center" vertical="center" wrapText="1"/>
    </xf>
    <xf numFmtId="3" fontId="15" fillId="0" borderId="3" xfId="0" applyNumberFormat="1" applyFont="1" applyFill="1" applyBorder="1" applyAlignment="1" applyProtection="1">
      <alignment horizontal="center" vertical="center" wrapText="1"/>
    </xf>
    <xf numFmtId="3" fontId="15" fillId="0" borderId="8" xfId="0" applyNumberFormat="1" applyFont="1" applyFill="1" applyBorder="1" applyAlignment="1" applyProtection="1">
      <alignment horizontal="center" vertical="center" wrapText="1"/>
    </xf>
    <xf numFmtId="3" fontId="15" fillId="0" borderId="47" xfId="0" applyNumberFormat="1" applyFont="1" applyFill="1" applyBorder="1" applyAlignment="1" applyProtection="1">
      <alignment horizontal="center" vertical="center" wrapText="1"/>
    </xf>
    <xf numFmtId="3" fontId="23" fillId="0" borderId="0" xfId="0" applyNumberFormat="1" applyFont="1" applyFill="1" applyBorder="1" applyAlignment="1">
      <alignment horizontal="center" vertical="center" wrapText="1"/>
    </xf>
    <xf numFmtId="3" fontId="16" fillId="0" borderId="0" xfId="0" applyNumberFormat="1" applyFont="1" applyFill="1" applyAlignment="1">
      <alignment horizontal="center" vertical="top" wrapText="1"/>
    </xf>
    <xf numFmtId="3" fontId="3" fillId="0" borderId="14" xfId="0" applyNumberFormat="1" applyFont="1" applyFill="1" applyBorder="1" applyAlignment="1">
      <alignment horizontal="left" vertical="top" wrapText="1"/>
    </xf>
    <xf numFmtId="3" fontId="3" fillId="0" borderId="15" xfId="1" applyNumberFormat="1" applyFont="1" applyFill="1" applyBorder="1" applyAlignment="1">
      <alignment horizontal="center" vertical="top" wrapText="1"/>
    </xf>
    <xf numFmtId="3" fontId="18" fillId="0" borderId="7" xfId="2" applyNumberFormat="1" applyFill="1" applyBorder="1" applyAlignment="1">
      <alignment vertical="top" wrapText="1"/>
    </xf>
    <xf numFmtId="3" fontId="18" fillId="0" borderId="4" xfId="2" applyNumberFormat="1" applyFill="1" applyBorder="1" applyAlignment="1">
      <alignment vertical="top" wrapText="1"/>
    </xf>
    <xf numFmtId="3" fontId="0" fillId="0" borderId="41" xfId="0" applyNumberFormat="1" applyFill="1" applyBorder="1" applyAlignment="1">
      <alignment vertical="top" wrapText="1"/>
    </xf>
    <xf numFmtId="3" fontId="14" fillId="0" borderId="4" xfId="0" applyNumberFormat="1" applyFont="1" applyFill="1" applyBorder="1" applyAlignment="1">
      <alignment vertical="top" wrapText="1"/>
    </xf>
    <xf numFmtId="3" fontId="18" fillId="0" borderId="14" xfId="2" applyNumberFormat="1" applyFill="1" applyBorder="1" applyAlignment="1">
      <alignment vertical="top" wrapText="1"/>
    </xf>
    <xf numFmtId="3" fontId="18" fillId="0" borderId="14" xfId="2" applyNumberFormat="1" applyFont="1" applyFill="1" applyBorder="1" applyAlignment="1">
      <alignment vertical="top" wrapText="1"/>
    </xf>
    <xf numFmtId="3" fontId="14" fillId="0" borderId="0" xfId="1" applyNumberFormat="1" applyFont="1" applyFill="1" applyBorder="1" applyAlignment="1">
      <alignment vertical="top" wrapText="1"/>
    </xf>
    <xf numFmtId="3" fontId="0" fillId="0" borderId="7" xfId="0" applyNumberFormat="1" applyFill="1" applyBorder="1" applyAlignment="1">
      <alignment vertical="top" wrapText="1"/>
    </xf>
    <xf numFmtId="3" fontId="0" fillId="0" borderId="4" xfId="0" applyNumberFormat="1" applyFill="1" applyBorder="1" applyAlignment="1">
      <alignment vertical="top" wrapText="1"/>
    </xf>
    <xf numFmtId="3" fontId="11" fillId="0" borderId="4" xfId="0" applyNumberFormat="1" applyFont="1" applyFill="1" applyBorder="1" applyAlignment="1">
      <alignment vertical="top" wrapText="1"/>
    </xf>
    <xf numFmtId="3" fontId="0" fillId="0" borderId="14" xfId="0" applyNumberFormat="1" applyFill="1" applyBorder="1" applyAlignment="1">
      <alignment vertical="top" wrapText="1"/>
    </xf>
    <xf numFmtId="0" fontId="0" fillId="0" borderId="7" xfId="0" applyFill="1" applyBorder="1" applyAlignment="1">
      <alignment horizontal="left" vertical="top" wrapText="1"/>
    </xf>
    <xf numFmtId="0" fontId="0" fillId="0" borderId="4" xfId="0" applyFill="1" applyBorder="1" applyAlignment="1">
      <alignment horizontal="left" vertical="top" wrapText="1"/>
    </xf>
    <xf numFmtId="0" fontId="0" fillId="0" borderId="4" xfId="0" applyFill="1" applyBorder="1" applyAlignment="1">
      <alignment vertical="top"/>
    </xf>
    <xf numFmtId="3" fontId="0" fillId="0" borderId="21" xfId="0" applyNumberFormat="1" applyFill="1" applyBorder="1" applyAlignment="1">
      <alignment horizontal="right" vertical="top"/>
    </xf>
    <xf numFmtId="0" fontId="0" fillId="0" borderId="14" xfId="0" applyFill="1" applyBorder="1" applyAlignment="1">
      <alignment horizontal="left" vertical="top" wrapText="1"/>
    </xf>
    <xf numFmtId="3" fontId="0" fillId="0" borderId="29" xfId="0" applyNumberFormat="1" applyFill="1" applyBorder="1" applyAlignment="1">
      <alignment horizontal="right" vertical="top"/>
    </xf>
    <xf numFmtId="3" fontId="3" fillId="4" borderId="6" xfId="0" applyNumberFormat="1" applyFont="1" applyFill="1" applyBorder="1" applyAlignment="1">
      <alignment vertical="top" wrapText="1"/>
    </xf>
    <xf numFmtId="3" fontId="3" fillId="4" borderId="46" xfId="0" applyNumberFormat="1" applyFont="1" applyFill="1" applyBorder="1" applyAlignment="1">
      <alignment vertical="top" wrapText="1"/>
    </xf>
    <xf numFmtId="3" fontId="3" fillId="3" borderId="6" xfId="0" applyNumberFormat="1" applyFont="1" applyFill="1" applyBorder="1" applyAlignment="1">
      <alignment vertical="top" wrapText="1"/>
    </xf>
    <xf numFmtId="3" fontId="3" fillId="3" borderId="17" xfId="0" applyNumberFormat="1" applyFont="1" applyFill="1" applyBorder="1" applyAlignment="1">
      <alignment vertical="top" wrapText="1"/>
    </xf>
    <xf numFmtId="3" fontId="3" fillId="2" borderId="6" xfId="0" applyNumberFormat="1" applyFont="1" applyFill="1" applyBorder="1" applyAlignment="1">
      <alignment vertical="top" wrapText="1"/>
    </xf>
    <xf numFmtId="3" fontId="3" fillId="2" borderId="17" xfId="0" applyNumberFormat="1" applyFont="1" applyFill="1" applyBorder="1" applyAlignment="1">
      <alignment vertical="top" wrapText="1"/>
    </xf>
    <xf numFmtId="3" fontId="3" fillId="6" borderId="6" xfId="0" applyNumberFormat="1" applyFont="1" applyFill="1" applyBorder="1" applyAlignment="1" applyProtection="1">
      <alignment vertical="top" wrapText="1"/>
    </xf>
    <xf numFmtId="3" fontId="3" fillId="6" borderId="17" xfId="0" applyNumberFormat="1" applyFont="1" applyFill="1" applyBorder="1" applyAlignment="1" applyProtection="1">
      <alignment vertical="top" wrapText="1"/>
    </xf>
    <xf numFmtId="3" fontId="23" fillId="0" borderId="21" xfId="1" applyNumberFormat="1" applyFont="1" applyFill="1" applyBorder="1" applyAlignment="1">
      <alignment vertical="top" wrapText="1"/>
    </xf>
    <xf numFmtId="3" fontId="16" fillId="0" borderId="29" xfId="1" applyNumberFormat="1" applyFont="1" applyFill="1" applyBorder="1" applyAlignment="1">
      <alignment vertical="top" wrapText="1"/>
    </xf>
    <xf numFmtId="3" fontId="25" fillId="0" borderId="29" xfId="1" applyNumberFormat="1" applyFont="1" applyFill="1" applyBorder="1" applyAlignment="1">
      <alignment vertical="top" wrapText="1"/>
    </xf>
    <xf numFmtId="3" fontId="15" fillId="0" borderId="53" xfId="0" applyNumberFormat="1" applyFont="1" applyFill="1" applyBorder="1" applyAlignment="1" applyProtection="1">
      <alignment horizontal="center" vertical="center" wrapText="1"/>
      <protection locked="0"/>
    </xf>
    <xf numFmtId="3" fontId="3" fillId="2" borderId="4" xfId="0" applyNumberFormat="1" applyFont="1" applyFill="1" applyBorder="1" applyAlignment="1" applyProtection="1">
      <alignment horizontal="left" vertical="top" wrapText="1"/>
      <protection locked="0"/>
    </xf>
    <xf numFmtId="3" fontId="3" fillId="2" borderId="5" xfId="0" applyNumberFormat="1" applyFont="1" applyFill="1" applyBorder="1" applyAlignment="1" applyProtection="1">
      <alignment horizontal="left" vertical="top" wrapText="1"/>
      <protection locked="0"/>
    </xf>
    <xf numFmtId="3" fontId="3" fillId="2" borderId="6" xfId="0" applyNumberFormat="1" applyFont="1" applyFill="1" applyBorder="1" applyAlignment="1" applyProtection="1">
      <alignment horizontal="left" vertical="top" wrapText="1"/>
      <protection locked="0"/>
    </xf>
    <xf numFmtId="3" fontId="3" fillId="6" borderId="22" xfId="0" applyNumberFormat="1" applyFont="1" applyFill="1" applyBorder="1" applyAlignment="1" applyProtection="1">
      <alignment horizontal="left" vertical="top" wrapText="1"/>
      <protection locked="0"/>
    </xf>
    <xf numFmtId="3" fontId="3" fillId="6" borderId="11" xfId="0" applyNumberFormat="1" applyFont="1" applyFill="1" applyBorder="1" applyAlignment="1" applyProtection="1">
      <alignment horizontal="left" vertical="top" wrapText="1"/>
      <protection locked="0"/>
    </xf>
    <xf numFmtId="3" fontId="3" fillId="6" borderId="23" xfId="0" applyNumberFormat="1" applyFont="1" applyFill="1" applyBorder="1" applyAlignment="1" applyProtection="1">
      <alignment horizontal="left" vertical="top" wrapText="1"/>
      <protection locked="0"/>
    </xf>
    <xf numFmtId="3" fontId="8" fillId="0" borderId="0" xfId="0" applyNumberFormat="1" applyFont="1" applyAlignment="1" applyProtection="1">
      <alignment horizontal="left" vertical="top" wrapText="1"/>
      <protection locked="0"/>
    </xf>
    <xf numFmtId="3" fontId="3" fillId="4" borderId="1" xfId="0" applyNumberFormat="1" applyFont="1" applyFill="1" applyBorder="1" applyAlignment="1" applyProtection="1">
      <alignment horizontal="center" vertical="top" wrapText="1"/>
      <protection locked="0"/>
    </xf>
    <xf numFmtId="3" fontId="3" fillId="4" borderId="2" xfId="0" applyNumberFormat="1" applyFont="1" applyFill="1" applyBorder="1" applyAlignment="1" applyProtection="1">
      <alignment horizontal="center" vertical="top" wrapText="1"/>
      <protection locked="0"/>
    </xf>
    <xf numFmtId="3" fontId="3" fillId="4" borderId="3" xfId="0" applyNumberFormat="1" applyFont="1" applyFill="1" applyBorder="1" applyAlignment="1" applyProtection="1">
      <alignment horizontal="center" vertical="top" wrapText="1"/>
      <protection locked="0"/>
    </xf>
    <xf numFmtId="3" fontId="3" fillId="3" borderId="1" xfId="0" applyNumberFormat="1" applyFont="1" applyFill="1" applyBorder="1" applyAlignment="1" applyProtection="1">
      <alignment horizontal="center" vertical="top" wrapText="1"/>
      <protection locked="0"/>
    </xf>
    <xf numFmtId="3" fontId="3" fillId="3" borderId="19" xfId="0" applyNumberFormat="1" applyFont="1" applyFill="1" applyBorder="1" applyAlignment="1" applyProtection="1">
      <alignment horizontal="center" vertical="top" wrapText="1"/>
      <protection locked="0"/>
    </xf>
    <xf numFmtId="3" fontId="3" fillId="3" borderId="2" xfId="0" applyNumberFormat="1" applyFont="1" applyFill="1" applyBorder="1" applyAlignment="1" applyProtection="1">
      <alignment horizontal="center" vertical="top" wrapText="1"/>
      <protection locked="0"/>
    </xf>
    <xf numFmtId="3" fontId="3" fillId="3" borderId="3" xfId="0" applyNumberFormat="1" applyFont="1" applyFill="1" applyBorder="1" applyAlignment="1" applyProtection="1">
      <alignment horizontal="center" vertical="top" wrapText="1"/>
      <protection locked="0"/>
    </xf>
    <xf numFmtId="3" fontId="3" fillId="2" borderId="1" xfId="0" applyNumberFormat="1" applyFont="1" applyFill="1" applyBorder="1" applyAlignment="1" applyProtection="1">
      <alignment horizontal="center" vertical="top" wrapText="1"/>
      <protection locked="0"/>
    </xf>
    <xf numFmtId="3" fontId="3" fillId="2" borderId="2" xfId="0" applyNumberFormat="1" applyFont="1" applyFill="1" applyBorder="1" applyAlignment="1" applyProtection="1">
      <alignment horizontal="center" vertical="top" wrapText="1"/>
      <protection locked="0"/>
    </xf>
    <xf numFmtId="3" fontId="3" fillId="2" borderId="3" xfId="0" applyNumberFormat="1" applyFont="1" applyFill="1" applyBorder="1" applyAlignment="1" applyProtection="1">
      <alignment horizontal="center" vertical="top" wrapText="1"/>
      <protection locked="0"/>
    </xf>
    <xf numFmtId="3" fontId="3" fillId="6" borderId="44" xfId="0" applyNumberFormat="1" applyFont="1" applyFill="1" applyBorder="1" applyAlignment="1" applyProtection="1">
      <alignment horizontal="center" vertical="top" wrapText="1"/>
      <protection locked="0"/>
    </xf>
    <xf numFmtId="3" fontId="3" fillId="6" borderId="45" xfId="0" applyNumberFormat="1" applyFont="1" applyFill="1" applyBorder="1" applyAlignment="1" applyProtection="1">
      <alignment horizontal="center" vertical="top" wrapText="1"/>
      <protection locked="0"/>
    </xf>
    <xf numFmtId="3" fontId="3" fillId="6" borderId="26" xfId="0" applyNumberFormat="1" applyFont="1" applyFill="1" applyBorder="1" applyAlignment="1" applyProtection="1">
      <alignment horizontal="center" vertical="top" wrapText="1"/>
      <protection locked="0"/>
    </xf>
    <xf numFmtId="3" fontId="3" fillId="7" borderId="24" xfId="0" applyNumberFormat="1" applyFont="1" applyFill="1" applyBorder="1" applyAlignment="1">
      <alignment horizontal="center" vertical="top" wrapText="1"/>
    </xf>
    <xf numFmtId="3" fontId="3" fillId="7" borderId="25" xfId="0" applyNumberFormat="1" applyFont="1" applyFill="1" applyBorder="1" applyAlignment="1">
      <alignment horizontal="center" vertical="top" wrapText="1"/>
    </xf>
    <xf numFmtId="3" fontId="3" fillId="7" borderId="12" xfId="0" applyNumberFormat="1" applyFont="1" applyFill="1" applyBorder="1" applyAlignment="1">
      <alignment horizontal="center" vertical="top" wrapText="1"/>
    </xf>
    <xf numFmtId="3" fontId="3" fillId="7" borderId="0" xfId="0" applyNumberFormat="1" applyFont="1" applyFill="1" applyBorder="1" applyAlignment="1">
      <alignment horizontal="center" vertical="top" wrapText="1"/>
    </xf>
    <xf numFmtId="3" fontId="3" fillId="7" borderId="13" xfId="0" applyNumberFormat="1" applyFont="1" applyFill="1" applyBorder="1" applyAlignment="1">
      <alignment horizontal="center" vertical="top" wrapText="1"/>
    </xf>
    <xf numFmtId="3" fontId="3" fillId="7" borderId="10" xfId="0" applyNumberFormat="1" applyFont="1" applyFill="1" applyBorder="1" applyAlignment="1">
      <alignment horizontal="center" vertical="top" wrapText="1"/>
    </xf>
    <xf numFmtId="3" fontId="3" fillId="4" borderId="4" xfId="0" applyNumberFormat="1" applyFont="1" applyFill="1" applyBorder="1" applyAlignment="1" applyProtection="1">
      <alignment horizontal="left" vertical="top" wrapText="1"/>
      <protection locked="0"/>
    </xf>
    <xf numFmtId="3" fontId="3" fillId="4" borderId="5" xfId="0" applyNumberFormat="1" applyFont="1" applyFill="1" applyBorder="1" applyAlignment="1" applyProtection="1">
      <alignment horizontal="left" vertical="top" wrapText="1"/>
      <protection locked="0"/>
    </xf>
    <xf numFmtId="3" fontId="3" fillId="4" borderId="6" xfId="0" applyNumberFormat="1" applyFont="1" applyFill="1" applyBorder="1" applyAlignment="1" applyProtection="1">
      <alignment horizontal="left" vertical="top" wrapText="1"/>
      <protection locked="0"/>
    </xf>
    <xf numFmtId="3" fontId="3" fillId="3" borderId="4" xfId="0" applyNumberFormat="1" applyFont="1" applyFill="1" applyBorder="1" applyAlignment="1" applyProtection="1">
      <alignment horizontal="left" vertical="top" wrapText="1"/>
      <protection locked="0"/>
    </xf>
    <xf numFmtId="3" fontId="3" fillId="3" borderId="18" xfId="0" applyNumberFormat="1" applyFont="1" applyFill="1" applyBorder="1" applyAlignment="1" applyProtection="1">
      <alignment horizontal="left" vertical="top" wrapText="1"/>
      <protection locked="0"/>
    </xf>
    <xf numFmtId="3" fontId="3" fillId="3" borderId="5" xfId="0" applyNumberFormat="1" applyFont="1" applyFill="1" applyBorder="1" applyAlignment="1" applyProtection="1">
      <alignment horizontal="left" vertical="top" wrapText="1"/>
      <protection locked="0"/>
    </xf>
    <xf numFmtId="3" fontId="3" fillId="3" borderId="6" xfId="0" applyNumberFormat="1" applyFont="1" applyFill="1" applyBorder="1" applyAlignment="1" applyProtection="1">
      <alignment horizontal="left" vertical="top" wrapText="1"/>
      <protection locked="0"/>
    </xf>
    <xf numFmtId="3" fontId="8" fillId="0" borderId="0" xfId="0" applyNumberFormat="1" applyFont="1" applyAlignment="1">
      <alignment horizontal="left" vertical="top" wrapText="1"/>
    </xf>
  </cellXfs>
  <cellStyles count="3">
    <cellStyle name="Гиперссылка" xfId="2" builtinId="8"/>
    <cellStyle name="Обычный" xfId="0" builtinId="0"/>
    <cellStyle name="Финансовый" xfId="1" builtinId="3"/>
  </cellStyles>
  <dxfs count="5"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CCFF"/>
      <color rgb="FFCC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123825</xdr:rowOff>
        </xdr:from>
        <xdr:to>
          <xdr:col>0</xdr:col>
          <xdr:colOff>2009775</xdr:colOff>
          <xdr:row>3</xdr:row>
          <xdr:rowOff>361950</xdr:rowOff>
        </xdr:to>
        <xdr:sp macro="" textlink="">
          <xdr:nvSpPr>
            <xdr:cNvPr id="1025" name="Button 1" descr="Скрыть номенклатуру со стоимостью 0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Скрыть номенклатуру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3</xdr:row>
          <xdr:rowOff>419100</xdr:rowOff>
        </xdr:from>
        <xdr:to>
          <xdr:col>0</xdr:col>
          <xdr:colOff>2009775</xdr:colOff>
          <xdr:row>3</xdr:row>
          <xdr:rowOff>857250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Показать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123825</xdr:rowOff>
        </xdr:from>
        <xdr:to>
          <xdr:col>0</xdr:col>
          <xdr:colOff>2009775</xdr:colOff>
          <xdr:row>3</xdr:row>
          <xdr:rowOff>361950</xdr:rowOff>
        </xdr:to>
        <xdr:sp macro="" textlink="">
          <xdr:nvSpPr>
            <xdr:cNvPr id="1028" name="Button 4" descr="Скрыть номенклатуру со стоимостью 0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Скрыть строки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2066925</xdr:colOff>
          <xdr:row>2</xdr:row>
          <xdr:rowOff>123825</xdr:rowOff>
        </xdr:from>
        <xdr:to>
          <xdr:col>0</xdr:col>
          <xdr:colOff>3714750</xdr:colOff>
          <xdr:row>3</xdr:row>
          <xdr:rowOff>361950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Скрыть столбцы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2066925</xdr:colOff>
          <xdr:row>3</xdr:row>
          <xdr:rowOff>419100</xdr:rowOff>
        </xdr:from>
        <xdr:to>
          <xdr:col>0</xdr:col>
          <xdr:colOff>3714750</xdr:colOff>
          <xdr:row>3</xdr:row>
          <xdr:rowOff>857250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Показать столбцы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asales.pro/rukovoditel-otdela-prodazh-v-arendu.html" TargetMode="External"/><Relationship Id="rId18" Type="http://schemas.openxmlformats.org/officeDocument/2006/relationships/hyperlink" Target="https://asales.pro/rukovoditel-otdela-prodazh-v-arendu.html" TargetMode="External"/><Relationship Id="rId26" Type="http://schemas.openxmlformats.org/officeDocument/2006/relationships/hyperlink" Target="https://asales.pro/landing-page.html" TargetMode="External"/><Relationship Id="rId39" Type="http://schemas.openxmlformats.org/officeDocument/2006/relationships/hyperlink" Target="https://asales.pro/nayim-menedjerov.html" TargetMode="External"/><Relationship Id="rId21" Type="http://schemas.openxmlformats.org/officeDocument/2006/relationships/hyperlink" Target="https://asales.pro/razrabotka-scenariya.html" TargetMode="External"/><Relationship Id="rId34" Type="http://schemas.openxmlformats.org/officeDocument/2006/relationships/hyperlink" Target="https://asales.pro/obsledovanie-rynka-sozdanie-utp.html" TargetMode="External"/><Relationship Id="rId42" Type="http://schemas.openxmlformats.org/officeDocument/2006/relationships/hyperlink" Target="https://asales.pro/rukovoditel-otdela-prodazh-v-arendu.html" TargetMode="External"/><Relationship Id="rId47" Type="http://schemas.openxmlformats.org/officeDocument/2006/relationships/hyperlink" Target="https://asales.pro/rukovoditel-otdela-prodazh-v-arendu.html" TargetMode="External"/><Relationship Id="rId50" Type="http://schemas.openxmlformats.org/officeDocument/2006/relationships/drawing" Target="../drawings/drawing1.xml"/><Relationship Id="rId55" Type="http://schemas.openxmlformats.org/officeDocument/2006/relationships/ctrlProp" Target="../ctrlProps/ctrlProp4.xml"/><Relationship Id="rId7" Type="http://schemas.openxmlformats.org/officeDocument/2006/relationships/hyperlink" Target="https://asales.pro/korporativnaya-kniga-prodazh.html" TargetMode="External"/><Relationship Id="rId12" Type="http://schemas.openxmlformats.org/officeDocument/2006/relationships/hyperlink" Target="https://asales.pro/zvonar-v-arendu.html" TargetMode="External"/><Relationship Id="rId17" Type="http://schemas.openxmlformats.org/officeDocument/2006/relationships/hyperlink" Target="https://asales.pro/rukovoditel-otdela-prodazh-v-arendu.html" TargetMode="External"/><Relationship Id="rId25" Type="http://schemas.openxmlformats.org/officeDocument/2006/relationships/hyperlink" Target="https://asales.pro/landing-page.html" TargetMode="External"/><Relationship Id="rId33" Type="http://schemas.openxmlformats.org/officeDocument/2006/relationships/hyperlink" Target="https://asales.pro/nayim-menedjerov.html" TargetMode="External"/><Relationship Id="rId38" Type="http://schemas.openxmlformats.org/officeDocument/2006/relationships/hyperlink" Target="https://asales.pro/nayim-menedjerov.html" TargetMode="External"/><Relationship Id="rId46" Type="http://schemas.openxmlformats.org/officeDocument/2006/relationships/hyperlink" Target="https://asales.pro/rukovoditel-otdela-prodazh-v-arendu.html" TargetMode="External"/><Relationship Id="rId2" Type="http://schemas.openxmlformats.org/officeDocument/2006/relationships/hyperlink" Target="https://asales.pro/razrabotka-struktury-otdela-aktivnyh-prodazh.html" TargetMode="External"/><Relationship Id="rId16" Type="http://schemas.openxmlformats.org/officeDocument/2006/relationships/hyperlink" Target="https://asales.pro/rukovoditel-otdela-prodazh-v-arendu.html" TargetMode="External"/><Relationship Id="rId20" Type="http://schemas.openxmlformats.org/officeDocument/2006/relationships/hyperlink" Target="https://asales.pro/razrabotka-scenariya.html" TargetMode="External"/><Relationship Id="rId29" Type="http://schemas.openxmlformats.org/officeDocument/2006/relationships/hyperlink" Target="https://asales.pro/sarafan-expertnosti.html" TargetMode="External"/><Relationship Id="rId41" Type="http://schemas.openxmlformats.org/officeDocument/2006/relationships/hyperlink" Target="https://asales.pro/rukovoditel-otdela-prodazh-v-arendu.html" TargetMode="External"/><Relationship Id="rId54" Type="http://schemas.openxmlformats.org/officeDocument/2006/relationships/ctrlProp" Target="../ctrlProps/ctrlProp3.xml"/><Relationship Id="rId1" Type="http://schemas.openxmlformats.org/officeDocument/2006/relationships/hyperlink" Target="https://asales.pro/razrabotka-struktury-otdela-aktivnyh-prodazh.html" TargetMode="External"/><Relationship Id="rId6" Type="http://schemas.openxmlformats.org/officeDocument/2006/relationships/hyperlink" Target="https://asales.pro/korporativnaya-kniga-prodazh.html" TargetMode="External"/><Relationship Id="rId11" Type="http://schemas.openxmlformats.org/officeDocument/2006/relationships/hyperlink" Target="https://asales.pro/razrabotka-scenariya.html" TargetMode="External"/><Relationship Id="rId24" Type="http://schemas.openxmlformats.org/officeDocument/2006/relationships/hyperlink" Target="https://asales.pro/rukovoditel-otdela-prodazh-v-arendu.html" TargetMode="External"/><Relationship Id="rId32" Type="http://schemas.openxmlformats.org/officeDocument/2006/relationships/hyperlink" Target="https://asales.pro/1c-crm-centr-holodnyh-prodazh.html" TargetMode="External"/><Relationship Id="rId37" Type="http://schemas.openxmlformats.org/officeDocument/2006/relationships/hyperlink" Target="https://asales.pro/zvonar-v-arendu.html" TargetMode="External"/><Relationship Id="rId40" Type="http://schemas.openxmlformats.org/officeDocument/2006/relationships/hyperlink" Target="https://asales.pro/rukovoditel-otdela-prodazh-v-arendu.html" TargetMode="External"/><Relationship Id="rId45" Type="http://schemas.openxmlformats.org/officeDocument/2006/relationships/hyperlink" Target="https://asales.pro/rukovoditel-otdela-prodazh-v-arendu.html" TargetMode="External"/><Relationship Id="rId53" Type="http://schemas.openxmlformats.org/officeDocument/2006/relationships/ctrlProp" Target="../ctrlProps/ctrlProp2.xml"/><Relationship Id="rId5" Type="http://schemas.openxmlformats.org/officeDocument/2006/relationships/hyperlink" Target="https://asales.pro/korporativnaya-kniga-prodazh.html" TargetMode="External"/><Relationship Id="rId15" Type="http://schemas.openxmlformats.org/officeDocument/2006/relationships/hyperlink" Target="https://asales.pro/rukovoditel-otdela-prodazh-v-arendu.html" TargetMode="External"/><Relationship Id="rId23" Type="http://schemas.openxmlformats.org/officeDocument/2006/relationships/hyperlink" Target="https://asales.pro/rukovoditel-otdela-prodazh-v-arendu.html" TargetMode="External"/><Relationship Id="rId28" Type="http://schemas.openxmlformats.org/officeDocument/2006/relationships/hyperlink" Target="https://asales.pro/landing-page.html" TargetMode="External"/><Relationship Id="rId36" Type="http://schemas.openxmlformats.org/officeDocument/2006/relationships/hyperlink" Target="https://asales.pro/obsledovanie-rynka-sozdanie-utp.html" TargetMode="External"/><Relationship Id="rId49" Type="http://schemas.openxmlformats.org/officeDocument/2006/relationships/printerSettings" Target="../printerSettings/printerSettings1.bin"/><Relationship Id="rId10" Type="http://schemas.openxmlformats.org/officeDocument/2006/relationships/hyperlink" Target="https://asales.pro/razrabotka-scenariya.html" TargetMode="External"/><Relationship Id="rId19" Type="http://schemas.openxmlformats.org/officeDocument/2006/relationships/hyperlink" Target="https://asales.pro/razrabotka-scenariya.html" TargetMode="External"/><Relationship Id="rId31" Type="http://schemas.openxmlformats.org/officeDocument/2006/relationships/hyperlink" Target="https://asales.pro/sarafan-expertnosti.html" TargetMode="External"/><Relationship Id="rId44" Type="http://schemas.openxmlformats.org/officeDocument/2006/relationships/hyperlink" Target="https://asales.pro/rukovoditel-otdela-prodazh-v-arendu.html" TargetMode="External"/><Relationship Id="rId52" Type="http://schemas.openxmlformats.org/officeDocument/2006/relationships/ctrlProp" Target="../ctrlProps/ctrlProp1.xml"/><Relationship Id="rId4" Type="http://schemas.openxmlformats.org/officeDocument/2006/relationships/hyperlink" Target="https://asales.pro/korporativnaya-kniga-prodazh.html" TargetMode="External"/><Relationship Id="rId9" Type="http://schemas.openxmlformats.org/officeDocument/2006/relationships/hyperlink" Target="https://asales.pro/razrabotka-scenariya.html" TargetMode="External"/><Relationship Id="rId14" Type="http://schemas.openxmlformats.org/officeDocument/2006/relationships/hyperlink" Target="https://asales.pro/rukovoditel-otdela-prodazh-v-arendu.html" TargetMode="External"/><Relationship Id="rId22" Type="http://schemas.openxmlformats.org/officeDocument/2006/relationships/hyperlink" Target="https://asales.pro/rukovoditel-otdela-prodazh-v-arendu.html" TargetMode="External"/><Relationship Id="rId27" Type="http://schemas.openxmlformats.org/officeDocument/2006/relationships/hyperlink" Target="https://asales.pro/landing-page.html" TargetMode="External"/><Relationship Id="rId30" Type="http://schemas.openxmlformats.org/officeDocument/2006/relationships/hyperlink" Target="https://asales.pro/sarafan-expertnosti.html" TargetMode="External"/><Relationship Id="rId35" Type="http://schemas.openxmlformats.org/officeDocument/2006/relationships/hyperlink" Target="https://asales.pro/obsledovanie-rynka-sozdanie-utp.html" TargetMode="External"/><Relationship Id="rId43" Type="http://schemas.openxmlformats.org/officeDocument/2006/relationships/hyperlink" Target="https://asales.pro/rukovoditel-otdela-prodazh-v-arendu.html" TargetMode="External"/><Relationship Id="rId48" Type="http://schemas.openxmlformats.org/officeDocument/2006/relationships/hyperlink" Target="https://asales.pro/rukovoditel-otdela-prodazh-v-arendu.html" TargetMode="External"/><Relationship Id="rId56" Type="http://schemas.openxmlformats.org/officeDocument/2006/relationships/ctrlProp" Target="../ctrlProps/ctrlProp5.xml"/><Relationship Id="rId8" Type="http://schemas.openxmlformats.org/officeDocument/2006/relationships/hyperlink" Target="https://asales.pro/korporativnaya-kniga-prodazh.html" TargetMode="External"/><Relationship Id="rId51" Type="http://schemas.openxmlformats.org/officeDocument/2006/relationships/vmlDrawing" Target="../drawings/vmlDrawing1.vml"/><Relationship Id="rId3" Type="http://schemas.openxmlformats.org/officeDocument/2006/relationships/hyperlink" Target="https://asales.pro/korporativnaya-kniga-prodazh.html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asales.pro/rukovoditel-otdela-prodazh-v-arendu.html" TargetMode="External"/><Relationship Id="rId18" Type="http://schemas.openxmlformats.org/officeDocument/2006/relationships/hyperlink" Target="https://asales.pro/rukovoditel-otdela-prodazh-v-arendu.html" TargetMode="External"/><Relationship Id="rId26" Type="http://schemas.openxmlformats.org/officeDocument/2006/relationships/hyperlink" Target="https://asales.pro/landing-page.html" TargetMode="External"/><Relationship Id="rId39" Type="http://schemas.openxmlformats.org/officeDocument/2006/relationships/hyperlink" Target="https://asales.pro/nayim-menedjerov.html" TargetMode="External"/><Relationship Id="rId3" Type="http://schemas.openxmlformats.org/officeDocument/2006/relationships/hyperlink" Target="https://asales.pro/korporativnaya-kniga-prodazh.html" TargetMode="External"/><Relationship Id="rId21" Type="http://schemas.openxmlformats.org/officeDocument/2006/relationships/hyperlink" Target="https://asales.pro/razrabotka-scenariya.html" TargetMode="External"/><Relationship Id="rId34" Type="http://schemas.openxmlformats.org/officeDocument/2006/relationships/hyperlink" Target="https://asales.pro/obsledovanie-rynka-sozdanie-utp.html" TargetMode="External"/><Relationship Id="rId42" Type="http://schemas.openxmlformats.org/officeDocument/2006/relationships/hyperlink" Target="https://asales.pro/rukovoditel-otdela-prodazh-v-arendu.html" TargetMode="External"/><Relationship Id="rId47" Type="http://schemas.openxmlformats.org/officeDocument/2006/relationships/hyperlink" Target="https://asales.pro/rukovoditel-otdela-prodazh-v-arendu.html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asales.pro/korporativnaya-kniga-prodazh.html" TargetMode="External"/><Relationship Id="rId12" Type="http://schemas.openxmlformats.org/officeDocument/2006/relationships/hyperlink" Target="https://asales.pro/zvonar-v-arendu.html" TargetMode="External"/><Relationship Id="rId17" Type="http://schemas.openxmlformats.org/officeDocument/2006/relationships/hyperlink" Target="https://asales.pro/rukovoditel-otdela-prodazh-v-arendu.html" TargetMode="External"/><Relationship Id="rId25" Type="http://schemas.openxmlformats.org/officeDocument/2006/relationships/hyperlink" Target="https://asales.pro/landing-page.html" TargetMode="External"/><Relationship Id="rId33" Type="http://schemas.openxmlformats.org/officeDocument/2006/relationships/hyperlink" Target="https://asales.pro/nayim-menedjerov.html" TargetMode="External"/><Relationship Id="rId38" Type="http://schemas.openxmlformats.org/officeDocument/2006/relationships/hyperlink" Target="https://asales.pro/nayim-menedjerov.html" TargetMode="External"/><Relationship Id="rId46" Type="http://schemas.openxmlformats.org/officeDocument/2006/relationships/hyperlink" Target="https://asales.pro/rukovoditel-otdela-prodazh-v-arendu.html" TargetMode="External"/><Relationship Id="rId2" Type="http://schemas.openxmlformats.org/officeDocument/2006/relationships/hyperlink" Target="https://asales.pro/razrabotka-struktury-otdela-aktivnyh-prodazh.html" TargetMode="External"/><Relationship Id="rId16" Type="http://schemas.openxmlformats.org/officeDocument/2006/relationships/hyperlink" Target="https://asales.pro/rukovoditel-otdela-prodazh-v-arendu.html" TargetMode="External"/><Relationship Id="rId20" Type="http://schemas.openxmlformats.org/officeDocument/2006/relationships/hyperlink" Target="https://asales.pro/razrabotka-scenariya.html" TargetMode="External"/><Relationship Id="rId29" Type="http://schemas.openxmlformats.org/officeDocument/2006/relationships/hyperlink" Target="https://asales.pro/sarafan-expertnosti.html" TargetMode="External"/><Relationship Id="rId41" Type="http://schemas.openxmlformats.org/officeDocument/2006/relationships/hyperlink" Target="https://asales.pro/rukovoditel-otdela-prodazh-v-arendu.html" TargetMode="External"/><Relationship Id="rId1" Type="http://schemas.openxmlformats.org/officeDocument/2006/relationships/hyperlink" Target="https://asales.pro/razrabotka-struktury-otdela-aktivnyh-prodazh.html" TargetMode="External"/><Relationship Id="rId6" Type="http://schemas.openxmlformats.org/officeDocument/2006/relationships/hyperlink" Target="https://asales.pro/korporativnaya-kniga-prodazh.html" TargetMode="External"/><Relationship Id="rId11" Type="http://schemas.openxmlformats.org/officeDocument/2006/relationships/hyperlink" Target="https://asales.pro/razrabotka-scenariya.html" TargetMode="External"/><Relationship Id="rId24" Type="http://schemas.openxmlformats.org/officeDocument/2006/relationships/hyperlink" Target="https://asales.pro/rukovoditel-otdela-prodazh-v-arendu.html" TargetMode="External"/><Relationship Id="rId32" Type="http://schemas.openxmlformats.org/officeDocument/2006/relationships/hyperlink" Target="https://asales.pro/1c-crm-centr-holodnyh-prodazh.html" TargetMode="External"/><Relationship Id="rId37" Type="http://schemas.openxmlformats.org/officeDocument/2006/relationships/hyperlink" Target="https://asales.pro/zvonar-v-arendu.html" TargetMode="External"/><Relationship Id="rId40" Type="http://schemas.openxmlformats.org/officeDocument/2006/relationships/hyperlink" Target="https://asales.pro/nayim-menedjerov.html" TargetMode="External"/><Relationship Id="rId45" Type="http://schemas.openxmlformats.org/officeDocument/2006/relationships/hyperlink" Target="https://asales.pro/rukovoditel-otdela-prodazh-v-arendu.html" TargetMode="External"/><Relationship Id="rId5" Type="http://schemas.openxmlformats.org/officeDocument/2006/relationships/hyperlink" Target="https://asales.pro/korporativnaya-kniga-prodazh.html" TargetMode="External"/><Relationship Id="rId15" Type="http://schemas.openxmlformats.org/officeDocument/2006/relationships/hyperlink" Target="https://asales.pro/rukovoditel-otdela-prodazh-v-arendu.html" TargetMode="External"/><Relationship Id="rId23" Type="http://schemas.openxmlformats.org/officeDocument/2006/relationships/hyperlink" Target="https://asales.pro/rukovoditel-otdela-prodazh-v-arendu.html" TargetMode="External"/><Relationship Id="rId28" Type="http://schemas.openxmlformats.org/officeDocument/2006/relationships/hyperlink" Target="https://asales.pro/landing-page.html" TargetMode="External"/><Relationship Id="rId36" Type="http://schemas.openxmlformats.org/officeDocument/2006/relationships/hyperlink" Target="https://asales.pro/obsledovanie-rynka-sozdanie-utp.html" TargetMode="External"/><Relationship Id="rId49" Type="http://schemas.openxmlformats.org/officeDocument/2006/relationships/hyperlink" Target="https://asales.pro/rukovoditel-otdela-prodazh-v-arendu.html" TargetMode="External"/><Relationship Id="rId10" Type="http://schemas.openxmlformats.org/officeDocument/2006/relationships/hyperlink" Target="https://asales.pro/razrabotka-scenariya.html" TargetMode="External"/><Relationship Id="rId19" Type="http://schemas.openxmlformats.org/officeDocument/2006/relationships/hyperlink" Target="https://asales.pro/razrabotka-scenariya.html" TargetMode="External"/><Relationship Id="rId31" Type="http://schemas.openxmlformats.org/officeDocument/2006/relationships/hyperlink" Target="https://asales.pro/sarafan-expertnosti.html" TargetMode="External"/><Relationship Id="rId44" Type="http://schemas.openxmlformats.org/officeDocument/2006/relationships/hyperlink" Target="https://asales.pro/rukovoditel-otdela-prodazh-v-arendu.html" TargetMode="External"/><Relationship Id="rId4" Type="http://schemas.openxmlformats.org/officeDocument/2006/relationships/hyperlink" Target="https://asales.pro/korporativnaya-kniga-prodazh.html" TargetMode="External"/><Relationship Id="rId9" Type="http://schemas.openxmlformats.org/officeDocument/2006/relationships/hyperlink" Target="https://asales.pro/razrabotka-scenariya.html" TargetMode="External"/><Relationship Id="rId14" Type="http://schemas.openxmlformats.org/officeDocument/2006/relationships/hyperlink" Target="https://asales.pro/rukovoditel-otdela-prodazh-v-arendu.html" TargetMode="External"/><Relationship Id="rId22" Type="http://schemas.openxmlformats.org/officeDocument/2006/relationships/hyperlink" Target="https://asales.pro/rukovoditel-otdela-prodazh-v-arendu.html" TargetMode="External"/><Relationship Id="rId27" Type="http://schemas.openxmlformats.org/officeDocument/2006/relationships/hyperlink" Target="https://asales.pro/landing-page.html" TargetMode="External"/><Relationship Id="rId30" Type="http://schemas.openxmlformats.org/officeDocument/2006/relationships/hyperlink" Target="https://asales.pro/sarafan-expertnosti.html" TargetMode="External"/><Relationship Id="rId35" Type="http://schemas.openxmlformats.org/officeDocument/2006/relationships/hyperlink" Target="https://asales.pro/obsledovanie-rynka-sozdanie-utp.html" TargetMode="External"/><Relationship Id="rId43" Type="http://schemas.openxmlformats.org/officeDocument/2006/relationships/hyperlink" Target="https://asales.pro/rukovoditel-otdela-prodazh-v-arendu.html" TargetMode="External"/><Relationship Id="rId48" Type="http://schemas.openxmlformats.org/officeDocument/2006/relationships/hyperlink" Target="https://asales.pro/rukovoditel-otdela-prodazh-v-arendu.html" TargetMode="External"/><Relationship Id="rId8" Type="http://schemas.openxmlformats.org/officeDocument/2006/relationships/hyperlink" Target="https://asales.pro/korporativnaya-kniga-prodazh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/>
  </sheetPr>
  <dimension ref="A1:BE146"/>
  <sheetViews>
    <sheetView tabSelected="1" topLeftCell="A75" zoomScaleNormal="100" workbookViewId="0">
      <selection activeCell="A90" sqref="A90"/>
    </sheetView>
  </sheetViews>
  <sheetFormatPr defaultRowHeight="15" outlineLevelRow="3" x14ac:dyDescent="0.25"/>
  <cols>
    <col min="1" max="1" width="69.140625" style="4" customWidth="1"/>
    <col min="2" max="2" width="12.5703125" style="6" bestFit="1" customWidth="1"/>
    <col min="3" max="3" width="13.7109375" style="6" bestFit="1" customWidth="1"/>
    <col min="4" max="4" width="17.42578125" style="6" bestFit="1" customWidth="1"/>
    <col min="5" max="5" width="16.5703125" style="6" customWidth="1"/>
    <col min="6" max="6" width="9.7109375" style="4" customWidth="1"/>
    <col min="7" max="12" width="10.7109375" style="4" customWidth="1"/>
    <col min="13" max="13" width="10" style="4" customWidth="1"/>
    <col min="14" max="14" width="11.85546875" style="4" customWidth="1"/>
    <col min="15" max="32" width="10.7109375" style="4" customWidth="1"/>
    <col min="33" max="36" width="12.7109375" style="4" customWidth="1"/>
    <col min="37" max="16384" width="9.140625" style="4"/>
  </cols>
  <sheetData>
    <row r="1" spans="1:57" s="1" customFormat="1" ht="46.5" x14ac:dyDescent="0.25">
      <c r="A1" s="309" t="s">
        <v>74</v>
      </c>
      <c r="B1" s="309"/>
      <c r="C1" s="309"/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09"/>
      <c r="S1" s="309"/>
      <c r="T1" s="309"/>
      <c r="U1" s="309"/>
      <c r="V1" s="309"/>
      <c r="W1" s="309"/>
      <c r="X1" s="309"/>
      <c r="Y1" s="309"/>
      <c r="Z1" s="309"/>
      <c r="AA1" s="309"/>
      <c r="AB1" s="309"/>
      <c r="AC1" s="309"/>
      <c r="AD1" s="309"/>
      <c r="AE1" s="309"/>
      <c r="AF1" s="309"/>
      <c r="AG1" s="309"/>
    </row>
    <row r="2" spans="1:57" s="1" customFormat="1" ht="27" thickBot="1" x14ac:dyDescent="0.3">
      <c r="B2" s="2"/>
      <c r="C2" s="2"/>
      <c r="D2" s="2"/>
      <c r="E2" s="2"/>
    </row>
    <row r="3" spans="1:57" s="3" customFormat="1" ht="15.75" customHeight="1" x14ac:dyDescent="0.25">
      <c r="A3" s="323"/>
      <c r="B3" s="324"/>
      <c r="C3" s="324"/>
      <c r="D3" s="324"/>
      <c r="E3" s="174" t="s">
        <v>26</v>
      </c>
      <c r="F3" s="310" t="s">
        <v>12</v>
      </c>
      <c r="G3" s="311"/>
      <c r="H3" s="311"/>
      <c r="I3" s="311"/>
      <c r="J3" s="311"/>
      <c r="K3" s="311"/>
      <c r="L3" s="312"/>
      <c r="M3" s="313" t="s">
        <v>11</v>
      </c>
      <c r="N3" s="314"/>
      <c r="O3" s="314"/>
      <c r="P3" s="314"/>
      <c r="Q3" s="314"/>
      <c r="R3" s="315"/>
      <c r="S3" s="316"/>
      <c r="T3" s="317" t="s">
        <v>21</v>
      </c>
      <c r="U3" s="318"/>
      <c r="V3" s="318"/>
      <c r="W3" s="318"/>
      <c r="X3" s="318"/>
      <c r="Y3" s="318"/>
      <c r="Z3" s="319"/>
      <c r="AA3" s="320" t="s">
        <v>16</v>
      </c>
      <c r="AB3" s="321"/>
      <c r="AC3" s="321"/>
      <c r="AD3" s="321"/>
      <c r="AE3" s="321"/>
      <c r="AF3" s="321"/>
      <c r="AG3" s="322"/>
    </row>
    <row r="4" spans="1:57" s="3" customFormat="1" ht="126.75" customHeight="1" x14ac:dyDescent="0.25">
      <c r="A4" s="325"/>
      <c r="B4" s="326"/>
      <c r="C4" s="326"/>
      <c r="D4" s="326"/>
      <c r="E4" s="175" t="s">
        <v>15</v>
      </c>
      <c r="F4" s="329" t="s">
        <v>18</v>
      </c>
      <c r="G4" s="330"/>
      <c r="H4" s="330"/>
      <c r="I4" s="330"/>
      <c r="J4" s="330"/>
      <c r="K4" s="330"/>
      <c r="L4" s="331"/>
      <c r="M4" s="332" t="s">
        <v>19</v>
      </c>
      <c r="N4" s="333"/>
      <c r="O4" s="333"/>
      <c r="P4" s="333"/>
      <c r="Q4" s="333"/>
      <c r="R4" s="334"/>
      <c r="S4" s="335"/>
      <c r="T4" s="303" t="s">
        <v>20</v>
      </c>
      <c r="U4" s="304"/>
      <c r="V4" s="304"/>
      <c r="W4" s="304"/>
      <c r="X4" s="304"/>
      <c r="Y4" s="304"/>
      <c r="Z4" s="305"/>
      <c r="AA4" s="306" t="s">
        <v>22</v>
      </c>
      <c r="AB4" s="307"/>
      <c r="AC4" s="307"/>
      <c r="AD4" s="307"/>
      <c r="AE4" s="307"/>
      <c r="AF4" s="307"/>
      <c r="AG4" s="308"/>
    </row>
    <row r="5" spans="1:57" s="3" customFormat="1" ht="31.5" x14ac:dyDescent="0.25">
      <c r="A5" s="327"/>
      <c r="B5" s="328"/>
      <c r="C5" s="328"/>
      <c r="D5" s="328"/>
      <c r="E5" s="47" t="s">
        <v>2</v>
      </c>
      <c r="F5" s="161" t="s">
        <v>9</v>
      </c>
      <c r="G5" s="162" t="s">
        <v>9</v>
      </c>
      <c r="H5" s="162" t="s">
        <v>9</v>
      </c>
      <c r="I5" s="162" t="s">
        <v>9</v>
      </c>
      <c r="J5" s="162" t="s">
        <v>9</v>
      </c>
      <c r="K5" s="162" t="s">
        <v>9</v>
      </c>
      <c r="L5" s="291" t="s">
        <v>17</v>
      </c>
      <c r="M5" s="164" t="s">
        <v>9</v>
      </c>
      <c r="N5" s="165" t="s">
        <v>9</v>
      </c>
      <c r="O5" s="165" t="s">
        <v>9</v>
      </c>
      <c r="P5" s="165" t="s">
        <v>9</v>
      </c>
      <c r="Q5" s="165" t="s">
        <v>9</v>
      </c>
      <c r="R5" s="165" t="s">
        <v>9</v>
      </c>
      <c r="S5" s="293" t="s">
        <v>17</v>
      </c>
      <c r="T5" s="168" t="s">
        <v>9</v>
      </c>
      <c r="U5" s="169" t="s">
        <v>9</v>
      </c>
      <c r="V5" s="169" t="s">
        <v>9</v>
      </c>
      <c r="W5" s="169" t="s">
        <v>9</v>
      </c>
      <c r="X5" s="169" t="s">
        <v>9</v>
      </c>
      <c r="Y5" s="169" t="s">
        <v>9</v>
      </c>
      <c r="Z5" s="295" t="s">
        <v>17</v>
      </c>
      <c r="AA5" s="171" t="s">
        <v>9</v>
      </c>
      <c r="AB5" s="172" t="s">
        <v>9</v>
      </c>
      <c r="AC5" s="172" t="s">
        <v>9</v>
      </c>
      <c r="AD5" s="172" t="s">
        <v>9</v>
      </c>
      <c r="AE5" s="172" t="s">
        <v>9</v>
      </c>
      <c r="AF5" s="172" t="s">
        <v>9</v>
      </c>
      <c r="AG5" s="297" t="s">
        <v>17</v>
      </c>
    </row>
    <row r="6" spans="1:57" s="3" customFormat="1" ht="16.5" thickBot="1" x14ac:dyDescent="0.3">
      <c r="A6" s="272" t="s">
        <v>25</v>
      </c>
      <c r="B6" s="251" t="s">
        <v>3</v>
      </c>
      <c r="C6" s="273" t="s">
        <v>23</v>
      </c>
      <c r="D6" s="251" t="s">
        <v>24</v>
      </c>
      <c r="E6" s="49"/>
      <c r="F6" s="163">
        <v>0</v>
      </c>
      <c r="G6" s="163">
        <v>0</v>
      </c>
      <c r="H6" s="163">
        <v>0</v>
      </c>
      <c r="I6" s="163">
        <v>0</v>
      </c>
      <c r="J6" s="163">
        <v>0</v>
      </c>
      <c r="K6" s="163">
        <v>0</v>
      </c>
      <c r="L6" s="292">
        <f>SUM(F6:K6)</f>
        <v>0</v>
      </c>
      <c r="M6" s="166">
        <v>0</v>
      </c>
      <c r="N6" s="167">
        <v>0</v>
      </c>
      <c r="O6" s="167">
        <v>0</v>
      </c>
      <c r="P6" s="167">
        <v>0</v>
      </c>
      <c r="Q6" s="167">
        <v>0</v>
      </c>
      <c r="R6" s="167">
        <v>0</v>
      </c>
      <c r="S6" s="294">
        <f>SUM(M6:R6)</f>
        <v>0</v>
      </c>
      <c r="T6" s="170">
        <v>0</v>
      </c>
      <c r="U6" s="170">
        <v>0</v>
      </c>
      <c r="V6" s="170">
        <v>0</v>
      </c>
      <c r="W6" s="170">
        <v>0</v>
      </c>
      <c r="X6" s="170">
        <v>0</v>
      </c>
      <c r="Y6" s="170">
        <v>0</v>
      </c>
      <c r="Z6" s="296">
        <f>SUM(T6:Y6)</f>
        <v>0</v>
      </c>
      <c r="AA6" s="173">
        <v>0</v>
      </c>
      <c r="AB6" s="173">
        <v>0</v>
      </c>
      <c r="AC6" s="173">
        <v>0</v>
      </c>
      <c r="AD6" s="173">
        <v>0</v>
      </c>
      <c r="AE6" s="173">
        <v>0</v>
      </c>
      <c r="AF6" s="173">
        <v>0</v>
      </c>
      <c r="AG6" s="298">
        <f>SUM(AA6:AF6)</f>
        <v>0</v>
      </c>
      <c r="AH6" s="271">
        <f>SUM(L6,S6,Z6,AG6,)</f>
        <v>0</v>
      </c>
    </row>
    <row r="7" spans="1:57" s="208" customFormat="1" ht="24" thickBot="1" x14ac:dyDescent="0.3">
      <c r="A7" s="198" t="s">
        <v>34</v>
      </c>
      <c r="B7" s="199"/>
      <c r="C7" s="200"/>
      <c r="D7" s="201">
        <f>SUM(D8:D12)</f>
        <v>0</v>
      </c>
      <c r="E7" s="202"/>
      <c r="F7" s="203" t="str">
        <f>IF(CONCATENATE(F8,F9,F10,F11,F12,F13)&gt;" ","х"," ")</f>
        <v xml:space="preserve"> </v>
      </c>
      <c r="G7" s="204" t="str">
        <f>IF(CONCATENATE(G8,G9,G10,G11,G12,G13)&gt;" ","х"," ")</f>
        <v xml:space="preserve"> </v>
      </c>
      <c r="H7" s="204" t="str">
        <f t="shared" ref="H7:L7" si="0">IF(CONCATENATE(H8,H9,H10,H11,H12,H13)&gt;" ","х"," ")</f>
        <v xml:space="preserve"> </v>
      </c>
      <c r="I7" s="204" t="str">
        <f t="shared" si="0"/>
        <v xml:space="preserve"> </v>
      </c>
      <c r="J7" s="204" t="str">
        <f t="shared" si="0"/>
        <v xml:space="preserve"> </v>
      </c>
      <c r="K7" s="204" t="str">
        <f t="shared" si="0"/>
        <v xml:space="preserve"> </v>
      </c>
      <c r="L7" s="205" t="str">
        <f t="shared" si="0"/>
        <v xml:space="preserve"> </v>
      </c>
      <c r="M7" s="203" t="str">
        <f>IF(CONCATENATE(M8,M9,M10,M11,M12,M13)&gt;" ","х"," ")</f>
        <v xml:space="preserve"> </v>
      </c>
      <c r="N7" s="204" t="str">
        <f>IF(CONCATENATE(N8,N9,N10,N11,N12,N13)&gt;" ","х"," ")</f>
        <v xml:space="preserve"> </v>
      </c>
      <c r="O7" s="204" t="str">
        <f t="shared" ref="O7:S7" si="1">IF(CONCATENATE(O8,O9,O10,O11,O12,O13)&gt;" ","х"," ")</f>
        <v xml:space="preserve"> </v>
      </c>
      <c r="P7" s="204" t="str">
        <f t="shared" si="1"/>
        <v xml:space="preserve"> </v>
      </c>
      <c r="Q7" s="204" t="str">
        <f t="shared" si="1"/>
        <v xml:space="preserve"> </v>
      </c>
      <c r="R7" s="204" t="str">
        <f t="shared" si="1"/>
        <v xml:space="preserve"> </v>
      </c>
      <c r="S7" s="205" t="str">
        <f t="shared" si="1"/>
        <v xml:space="preserve"> </v>
      </c>
      <c r="T7" s="203" t="str">
        <f>IF(CONCATENATE(T8,T9,T10,T11,T12,T13)&gt;" ","х"," ")</f>
        <v xml:space="preserve"> </v>
      </c>
      <c r="U7" s="204" t="str">
        <f>IF(CONCATENATE(U8,U9,U10,U11,U12,U13)&gt;" ","х"," ")</f>
        <v xml:space="preserve"> </v>
      </c>
      <c r="V7" s="204" t="str">
        <f t="shared" ref="V7:Z7" si="2">IF(CONCATENATE(V8,V9,V10,V11,V12,V13)&gt;" ","х"," ")</f>
        <v xml:space="preserve"> </v>
      </c>
      <c r="W7" s="204" t="str">
        <f t="shared" si="2"/>
        <v xml:space="preserve"> </v>
      </c>
      <c r="X7" s="204" t="str">
        <f t="shared" si="2"/>
        <v xml:space="preserve"> </v>
      </c>
      <c r="Y7" s="204" t="str">
        <f t="shared" si="2"/>
        <v xml:space="preserve"> </v>
      </c>
      <c r="Z7" s="205" t="str">
        <f t="shared" si="2"/>
        <v xml:space="preserve"> </v>
      </c>
      <c r="AA7" s="203" t="str">
        <f>IF(CONCATENATE(AA8,AA9,AA10,AA11,AA12,AA13)&gt;" ","х"," ")</f>
        <v xml:space="preserve"> </v>
      </c>
      <c r="AB7" s="204" t="str">
        <f>IF(CONCATENATE(AB8,AB9,AB10,AB11,AB12,AB13)&gt;" ","х"," ")</f>
        <v xml:space="preserve"> </v>
      </c>
      <c r="AC7" s="204" t="str">
        <f t="shared" ref="AC7:AG7" si="3">IF(CONCATENATE(AC8,AC9,AC10,AC11,AC12,AC13)&gt;" ","х"," ")</f>
        <v xml:space="preserve"> </v>
      </c>
      <c r="AD7" s="204" t="str">
        <f t="shared" si="3"/>
        <v xml:space="preserve"> </v>
      </c>
      <c r="AE7" s="204" t="str">
        <f t="shared" si="3"/>
        <v xml:space="preserve"> </v>
      </c>
      <c r="AF7" s="204" t="str">
        <f t="shared" si="3"/>
        <v xml:space="preserve"> </v>
      </c>
      <c r="AG7" s="205" t="str">
        <f t="shared" si="3"/>
        <v xml:space="preserve"> </v>
      </c>
      <c r="AH7" s="206"/>
      <c r="AI7" s="207"/>
      <c r="AJ7" s="207"/>
    </row>
    <row r="8" spans="1:57" s="9" customFormat="1" outlineLevel="1" x14ac:dyDescent="0.25">
      <c r="A8" s="274" t="s">
        <v>90</v>
      </c>
      <c r="B8" s="252">
        <v>600000</v>
      </c>
      <c r="C8" s="147"/>
      <c r="D8" s="252">
        <f>B8*C8</f>
        <v>0</v>
      </c>
      <c r="E8" s="25"/>
      <c r="F8" s="145"/>
      <c r="G8" s="146"/>
      <c r="H8" s="146"/>
      <c r="I8" s="146"/>
      <c r="J8" s="146"/>
      <c r="K8" s="146"/>
      <c r="L8" s="268"/>
      <c r="M8" s="145"/>
      <c r="N8" s="146"/>
      <c r="O8" s="146"/>
      <c r="P8" s="146"/>
      <c r="Q8" s="146"/>
      <c r="R8" s="146"/>
      <c r="S8" s="268"/>
      <c r="T8" s="145"/>
      <c r="U8" s="146"/>
      <c r="V8" s="146"/>
      <c r="W8" s="146"/>
      <c r="X8" s="146"/>
      <c r="Y8" s="146"/>
      <c r="Z8" s="268"/>
      <c r="AA8" s="145"/>
      <c r="AB8" s="146"/>
      <c r="AC8" s="146"/>
      <c r="AD8" s="146"/>
      <c r="AE8" s="146"/>
      <c r="AF8" s="146"/>
      <c r="AG8" s="268"/>
      <c r="AH8" s="26"/>
      <c r="AI8" s="270" t="s">
        <v>117</v>
      </c>
      <c r="AJ8" s="27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</row>
    <row r="9" spans="1:57" s="9" customFormat="1" outlineLevel="1" x14ac:dyDescent="0.25">
      <c r="A9" s="274" t="s">
        <v>89</v>
      </c>
      <c r="B9" s="252">
        <v>500000</v>
      </c>
      <c r="C9" s="147"/>
      <c r="D9" s="252">
        <f>B9*C9</f>
        <v>0</v>
      </c>
      <c r="E9" s="25"/>
      <c r="F9" s="145"/>
      <c r="G9" s="146"/>
      <c r="H9" s="146"/>
      <c r="I9" s="146"/>
      <c r="J9" s="146"/>
      <c r="K9" s="146"/>
      <c r="L9" s="268"/>
      <c r="M9" s="145"/>
      <c r="N9" s="146"/>
      <c r="O9" s="146"/>
      <c r="P9" s="146"/>
      <c r="Q9" s="146"/>
      <c r="R9" s="146"/>
      <c r="S9" s="268"/>
      <c r="T9" s="145"/>
      <c r="U9" s="146"/>
      <c r="V9" s="146"/>
      <c r="W9" s="146"/>
      <c r="X9" s="146"/>
      <c r="Y9" s="146"/>
      <c r="Z9" s="268"/>
      <c r="AA9" s="145"/>
      <c r="AB9" s="146"/>
      <c r="AC9" s="146"/>
      <c r="AD9" s="146"/>
      <c r="AE9" s="146"/>
      <c r="AF9" s="146"/>
      <c r="AG9" s="268"/>
      <c r="AH9" s="26"/>
      <c r="AI9" s="27"/>
      <c r="AJ9" s="27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</row>
    <row r="10" spans="1:57" s="9" customFormat="1" outlineLevel="1" x14ac:dyDescent="0.25">
      <c r="A10" s="274" t="s">
        <v>93</v>
      </c>
      <c r="B10" s="252">
        <v>35000</v>
      </c>
      <c r="C10" s="147"/>
      <c r="D10" s="253">
        <f t="shared" ref="D10:D11" si="4">B10*C10</f>
        <v>0</v>
      </c>
      <c r="E10" s="25"/>
      <c r="F10" s="145"/>
      <c r="G10" s="146"/>
      <c r="H10" s="146"/>
      <c r="I10" s="146"/>
      <c r="J10" s="146"/>
      <c r="K10" s="146"/>
      <c r="L10" s="268"/>
      <c r="M10" s="145"/>
      <c r="N10" s="146"/>
      <c r="O10" s="146"/>
      <c r="P10" s="146"/>
      <c r="Q10" s="146"/>
      <c r="R10" s="146"/>
      <c r="S10" s="268"/>
      <c r="T10" s="145"/>
      <c r="U10" s="146"/>
      <c r="V10" s="146"/>
      <c r="W10" s="146"/>
      <c r="X10" s="146"/>
      <c r="Y10" s="146"/>
      <c r="Z10" s="268"/>
      <c r="AA10" s="145"/>
      <c r="AB10" s="146"/>
      <c r="AC10" s="146"/>
      <c r="AD10" s="146"/>
      <c r="AE10" s="146"/>
      <c r="AF10" s="146"/>
      <c r="AG10" s="268"/>
      <c r="AH10" s="26"/>
      <c r="AI10" s="27"/>
      <c r="AJ10" s="27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</row>
    <row r="11" spans="1:57" s="9" customFormat="1" outlineLevel="1" x14ac:dyDescent="0.25">
      <c r="A11" s="274" t="s">
        <v>92</v>
      </c>
      <c r="B11" s="252">
        <v>180000</v>
      </c>
      <c r="C11" s="147"/>
      <c r="D11" s="253">
        <f t="shared" si="4"/>
        <v>0</v>
      </c>
      <c r="E11" s="25"/>
      <c r="F11" s="145"/>
      <c r="G11" s="146"/>
      <c r="H11" s="146"/>
      <c r="I11" s="146"/>
      <c r="J11" s="146"/>
      <c r="K11" s="146"/>
      <c r="L11" s="268"/>
      <c r="M11" s="145"/>
      <c r="N11" s="146"/>
      <c r="O11" s="146"/>
      <c r="P11" s="146"/>
      <c r="Q11" s="146"/>
      <c r="R11" s="146"/>
      <c r="S11" s="268"/>
      <c r="T11" s="145"/>
      <c r="U11" s="146"/>
      <c r="V11" s="146"/>
      <c r="W11" s="146"/>
      <c r="X11" s="146"/>
      <c r="Y11" s="146"/>
      <c r="Z11" s="268"/>
      <c r="AA11" s="145"/>
      <c r="AB11" s="146"/>
      <c r="AC11" s="146"/>
      <c r="AD11" s="146"/>
      <c r="AE11" s="146"/>
      <c r="AF11" s="146"/>
      <c r="AG11" s="268"/>
      <c r="AH11" s="26"/>
      <c r="AI11" s="27"/>
      <c r="AJ11" s="27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</row>
    <row r="12" spans="1:57" outlineLevel="1" x14ac:dyDescent="0.25">
      <c r="A12" s="275" t="s">
        <v>91</v>
      </c>
      <c r="B12" s="253">
        <v>320000</v>
      </c>
      <c r="C12" s="148"/>
      <c r="D12" s="253">
        <f>B12*C12</f>
        <v>0</v>
      </c>
      <c r="E12" s="11"/>
      <c r="F12" s="145"/>
      <c r="G12" s="146"/>
      <c r="H12" s="146"/>
      <c r="I12" s="146"/>
      <c r="J12" s="146"/>
      <c r="K12" s="146"/>
      <c r="L12" s="268"/>
      <c r="M12" s="145"/>
      <c r="N12" s="146"/>
      <c r="O12" s="146"/>
      <c r="P12" s="146"/>
      <c r="Q12" s="146"/>
      <c r="R12" s="146"/>
      <c r="S12" s="268"/>
      <c r="T12" s="145"/>
      <c r="U12" s="146"/>
      <c r="V12" s="146"/>
      <c r="W12" s="146"/>
      <c r="X12" s="146"/>
      <c r="Y12" s="146"/>
      <c r="Z12" s="268"/>
      <c r="AA12" s="145"/>
      <c r="AB12" s="146"/>
      <c r="AC12" s="146"/>
      <c r="AD12" s="146"/>
      <c r="AE12" s="146"/>
      <c r="AF12" s="146"/>
      <c r="AG12" s="268"/>
      <c r="AH12" s="29"/>
      <c r="AI12" s="30"/>
      <c r="AJ12" s="30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  <c r="AZ12" s="31"/>
      <c r="BA12" s="31"/>
      <c r="BB12" s="31"/>
      <c r="BC12" s="31"/>
      <c r="BD12" s="31"/>
      <c r="BE12" s="31"/>
    </row>
    <row r="13" spans="1:57" s="5" customFormat="1" ht="21.75" thickBot="1" x14ac:dyDescent="0.3">
      <c r="A13" s="276"/>
      <c r="B13" s="254"/>
      <c r="C13" s="19"/>
      <c r="D13" s="301">
        <v>0</v>
      </c>
      <c r="E13" s="20"/>
      <c r="F13" s="43"/>
      <c r="G13" s="44"/>
      <c r="H13" s="44"/>
      <c r="I13" s="44"/>
      <c r="J13" s="44"/>
      <c r="K13" s="44"/>
      <c r="L13" s="265"/>
      <c r="M13" s="41"/>
      <c r="N13" s="42"/>
      <c r="O13" s="42"/>
      <c r="P13" s="42"/>
      <c r="Q13" s="42"/>
      <c r="R13" s="42"/>
      <c r="S13" s="268"/>
      <c r="T13" s="43"/>
      <c r="U13" s="44"/>
      <c r="V13" s="44"/>
      <c r="W13" s="44"/>
      <c r="X13" s="44"/>
      <c r="Y13" s="44"/>
      <c r="Z13" s="265"/>
      <c r="AA13" s="43"/>
      <c r="AB13" s="45"/>
      <c r="AC13" s="45"/>
      <c r="AD13" s="44"/>
      <c r="AE13" s="44"/>
      <c r="AF13" s="44"/>
      <c r="AG13" s="265"/>
      <c r="AH13" s="32"/>
      <c r="AI13" s="33"/>
      <c r="AJ13" s="33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</row>
    <row r="14" spans="1:57" s="208" customFormat="1" ht="24" thickBot="1" x14ac:dyDescent="0.3">
      <c r="A14" s="198" t="s">
        <v>1</v>
      </c>
      <c r="B14" s="199"/>
      <c r="C14" s="200"/>
      <c r="D14" s="201">
        <f>SUM(D15:D20,D23:D32)</f>
        <v>0</v>
      </c>
      <c r="E14" s="202"/>
      <c r="F14" s="203" t="str">
        <f>IF(CONCATENATE(F15,F16,F17,F20,F23,F27,F18,F24,F25,F19,F26,F29,F31)&gt;" ","х"," ")</f>
        <v xml:space="preserve"> </v>
      </c>
      <c r="G14" s="204" t="str">
        <f t="shared" ref="G14:L14" si="5">IF(CONCATENATE(G15,G16,G24,G25,G17,G20,G18,G19,G26,G29,G23,G27,G31)&gt;" ","х"," ")</f>
        <v xml:space="preserve"> </v>
      </c>
      <c r="H14" s="204" t="str">
        <f t="shared" si="5"/>
        <v xml:space="preserve"> </v>
      </c>
      <c r="I14" s="204" t="str">
        <f t="shared" si="5"/>
        <v xml:space="preserve"> </v>
      </c>
      <c r="J14" s="204" t="str">
        <f t="shared" si="5"/>
        <v xml:space="preserve"> </v>
      </c>
      <c r="K14" s="204" t="str">
        <f t="shared" si="5"/>
        <v xml:space="preserve"> </v>
      </c>
      <c r="L14" s="205" t="str">
        <f t="shared" si="5"/>
        <v xml:space="preserve"> </v>
      </c>
      <c r="M14" s="203" t="str">
        <f>IF(CONCATENATE(M15,M16,M17,M20,M23,M27,M18,M24,M25,M19,M26,M29,M31)&gt;" ","х"," ")</f>
        <v xml:space="preserve"> </v>
      </c>
      <c r="N14" s="204" t="str">
        <f t="shared" ref="N14:S14" si="6">IF(CONCATENATE(N15,N16,N24,N25,N17,N20,N18,N19,N26,N29,N23,N27,N31)&gt;" ","х"," ")</f>
        <v xml:space="preserve"> </v>
      </c>
      <c r="O14" s="204" t="str">
        <f t="shared" si="6"/>
        <v xml:space="preserve"> </v>
      </c>
      <c r="P14" s="204" t="str">
        <f t="shared" si="6"/>
        <v xml:space="preserve"> </v>
      </c>
      <c r="Q14" s="204" t="str">
        <f t="shared" si="6"/>
        <v xml:space="preserve"> </v>
      </c>
      <c r="R14" s="204" t="str">
        <f t="shared" si="6"/>
        <v xml:space="preserve"> </v>
      </c>
      <c r="S14" s="205" t="str">
        <f t="shared" si="6"/>
        <v xml:space="preserve"> </v>
      </c>
      <c r="T14" s="203" t="str">
        <f>IF(CONCATENATE(T15,T16,T17,T20,T23,T27,T18,T24,T25,T19,T26,T29,T31)&gt;" ","х"," ")</f>
        <v xml:space="preserve"> </v>
      </c>
      <c r="U14" s="204" t="str">
        <f t="shared" ref="U14:Z14" si="7">IF(CONCATENATE(U15,U16,U24,U25,U17,U20,U18,U19,U26,U29,U23,U27,U31)&gt;" ","х"," ")</f>
        <v xml:space="preserve"> </v>
      </c>
      <c r="V14" s="204" t="str">
        <f t="shared" si="7"/>
        <v xml:space="preserve"> </v>
      </c>
      <c r="W14" s="204" t="str">
        <f t="shared" si="7"/>
        <v xml:space="preserve"> </v>
      </c>
      <c r="X14" s="204" t="str">
        <f t="shared" si="7"/>
        <v xml:space="preserve"> </v>
      </c>
      <c r="Y14" s="204" t="str">
        <f t="shared" si="7"/>
        <v xml:space="preserve"> </v>
      </c>
      <c r="Z14" s="205" t="str">
        <f t="shared" si="7"/>
        <v xml:space="preserve"> </v>
      </c>
      <c r="AA14" s="203" t="str">
        <f>IF(CONCATENATE(AA15,AA16,AA17,AA20,AA23,AA27,AA18,AA24,AA25,AA19,AA26,AA29,AA31)&gt;" ","х"," ")</f>
        <v xml:space="preserve"> </v>
      </c>
      <c r="AB14" s="204" t="str">
        <f t="shared" ref="AB14:AG14" si="8">IF(CONCATENATE(AB15,AB16,AB24,AB25,AB17,AB20,AB18,AB19,AB26,AB29,AB23,AB27,AB31)&gt;" ","х"," ")</f>
        <v xml:space="preserve"> </v>
      </c>
      <c r="AC14" s="204" t="str">
        <f t="shared" si="8"/>
        <v xml:space="preserve"> </v>
      </c>
      <c r="AD14" s="204" t="str">
        <f t="shared" si="8"/>
        <v xml:space="preserve"> </v>
      </c>
      <c r="AE14" s="204" t="str">
        <f t="shared" si="8"/>
        <v xml:space="preserve"> </v>
      </c>
      <c r="AF14" s="204" t="str">
        <f t="shared" si="8"/>
        <v xml:space="preserve"> </v>
      </c>
      <c r="AG14" s="205" t="str">
        <f t="shared" si="8"/>
        <v xml:space="preserve"> </v>
      </c>
      <c r="AH14" s="206"/>
      <c r="AI14" s="207"/>
      <c r="AJ14" s="207"/>
    </row>
    <row r="15" spans="1:57" s="9" customFormat="1" outlineLevel="1" x14ac:dyDescent="0.25">
      <c r="A15" s="274" t="s">
        <v>77</v>
      </c>
      <c r="B15" s="252">
        <v>120000</v>
      </c>
      <c r="C15" s="147"/>
      <c r="D15" s="252">
        <f>B15*C15</f>
        <v>0</v>
      </c>
      <c r="E15" s="25"/>
      <c r="F15" s="157"/>
      <c r="G15" s="158"/>
      <c r="H15" s="158"/>
      <c r="I15" s="158"/>
      <c r="J15" s="158"/>
      <c r="K15" s="158"/>
      <c r="L15" s="268"/>
      <c r="M15" s="157"/>
      <c r="N15" s="158"/>
      <c r="O15" s="158"/>
      <c r="P15" s="158"/>
      <c r="Q15" s="158"/>
      <c r="R15" s="158"/>
      <c r="S15" s="268"/>
      <c r="T15" s="157"/>
      <c r="U15" s="158"/>
      <c r="V15" s="158"/>
      <c r="W15" s="158"/>
      <c r="X15" s="158"/>
      <c r="Y15" s="158"/>
      <c r="Z15" s="268"/>
      <c r="AA15" s="157"/>
      <c r="AB15" s="158"/>
      <c r="AC15" s="158"/>
      <c r="AD15" s="158"/>
      <c r="AE15" s="158"/>
      <c r="AF15" s="158"/>
      <c r="AG15" s="268"/>
      <c r="AH15" s="26"/>
      <c r="AI15" s="27"/>
      <c r="AJ15" s="27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</row>
    <row r="16" spans="1:57" s="9" customFormat="1" outlineLevel="1" x14ac:dyDescent="0.25">
      <c r="A16" s="274" t="s">
        <v>76</v>
      </c>
      <c r="B16" s="252">
        <v>180000</v>
      </c>
      <c r="C16" s="147"/>
      <c r="D16" s="252">
        <f t="shared" ref="D16:D19" si="9">B16*C16</f>
        <v>0</v>
      </c>
      <c r="E16" s="25"/>
      <c r="F16" s="157"/>
      <c r="G16" s="158"/>
      <c r="H16" s="158"/>
      <c r="I16" s="158"/>
      <c r="J16" s="158"/>
      <c r="K16" s="158"/>
      <c r="L16" s="268"/>
      <c r="M16" s="157"/>
      <c r="N16" s="158"/>
      <c r="O16" s="158"/>
      <c r="P16" s="158"/>
      <c r="Q16" s="158"/>
      <c r="R16" s="158"/>
      <c r="S16" s="268"/>
      <c r="T16" s="157"/>
      <c r="U16" s="158"/>
      <c r="V16" s="158"/>
      <c r="W16" s="158"/>
      <c r="X16" s="158"/>
      <c r="Y16" s="158"/>
      <c r="Z16" s="268"/>
      <c r="AA16" s="157"/>
      <c r="AB16" s="158"/>
      <c r="AC16" s="158"/>
      <c r="AD16" s="158"/>
      <c r="AE16" s="158"/>
      <c r="AF16" s="158"/>
      <c r="AG16" s="268"/>
      <c r="AH16" s="26"/>
      <c r="AI16" s="27"/>
      <c r="AJ16" s="27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</row>
    <row r="17" spans="1:57" s="9" customFormat="1" outlineLevel="1" x14ac:dyDescent="0.25">
      <c r="A17" s="274" t="s">
        <v>75</v>
      </c>
      <c r="B17" s="252">
        <v>290000</v>
      </c>
      <c r="C17" s="147"/>
      <c r="D17" s="252">
        <f t="shared" si="9"/>
        <v>0</v>
      </c>
      <c r="E17" s="25"/>
      <c r="F17" s="157"/>
      <c r="G17" s="158"/>
      <c r="H17" s="158"/>
      <c r="I17" s="158"/>
      <c r="J17" s="158"/>
      <c r="K17" s="158"/>
      <c r="L17" s="268"/>
      <c r="M17" s="157"/>
      <c r="N17" s="158"/>
      <c r="O17" s="158"/>
      <c r="P17" s="158"/>
      <c r="Q17" s="158"/>
      <c r="R17" s="158"/>
      <c r="S17" s="268"/>
      <c r="T17" s="157"/>
      <c r="U17" s="158"/>
      <c r="V17" s="158"/>
      <c r="W17" s="158"/>
      <c r="X17" s="158"/>
      <c r="Y17" s="158"/>
      <c r="Z17" s="268"/>
      <c r="AA17" s="157"/>
      <c r="AB17" s="158"/>
      <c r="AC17" s="158"/>
      <c r="AD17" s="158"/>
      <c r="AE17" s="158"/>
      <c r="AF17" s="158"/>
      <c r="AG17" s="268"/>
      <c r="AH17" s="26"/>
      <c r="AI17" s="27"/>
      <c r="AJ17" s="27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</row>
    <row r="18" spans="1:57" s="9" customFormat="1" outlineLevel="1" x14ac:dyDescent="0.25">
      <c r="A18" s="277" t="s">
        <v>97</v>
      </c>
      <c r="B18" s="253">
        <v>50000</v>
      </c>
      <c r="C18" s="147"/>
      <c r="D18" s="252">
        <f t="shared" si="9"/>
        <v>0</v>
      </c>
      <c r="E18" s="25"/>
      <c r="F18" s="157"/>
      <c r="G18" s="158"/>
      <c r="H18" s="158"/>
      <c r="I18" s="158"/>
      <c r="J18" s="158"/>
      <c r="K18" s="158"/>
      <c r="L18" s="268"/>
      <c r="M18" s="157"/>
      <c r="N18" s="158"/>
      <c r="O18" s="158"/>
      <c r="P18" s="158"/>
      <c r="Q18" s="158"/>
      <c r="R18" s="158"/>
      <c r="S18" s="268"/>
      <c r="T18" s="157"/>
      <c r="U18" s="158"/>
      <c r="V18" s="158"/>
      <c r="W18" s="158"/>
      <c r="X18" s="158"/>
      <c r="Y18" s="158"/>
      <c r="Z18" s="268"/>
      <c r="AA18" s="157"/>
      <c r="AB18" s="158"/>
      <c r="AC18" s="158"/>
      <c r="AD18" s="158"/>
      <c r="AE18" s="158"/>
      <c r="AF18" s="158"/>
      <c r="AG18" s="268"/>
      <c r="AH18" s="26"/>
      <c r="AI18" s="27"/>
      <c r="AJ18" s="27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</row>
    <row r="19" spans="1:57" s="9" customFormat="1" outlineLevel="1" x14ac:dyDescent="0.25">
      <c r="A19" s="277" t="s">
        <v>96</v>
      </c>
      <c r="B19" s="253">
        <v>75000</v>
      </c>
      <c r="C19" s="147"/>
      <c r="D19" s="252">
        <f t="shared" si="9"/>
        <v>0</v>
      </c>
      <c r="E19" s="25"/>
      <c r="F19" s="157"/>
      <c r="G19" s="158"/>
      <c r="H19" s="158"/>
      <c r="I19" s="158"/>
      <c r="J19" s="158"/>
      <c r="K19" s="158"/>
      <c r="L19" s="268"/>
      <c r="M19" s="157"/>
      <c r="N19" s="158"/>
      <c r="O19" s="158"/>
      <c r="P19" s="158"/>
      <c r="Q19" s="158"/>
      <c r="R19" s="158"/>
      <c r="S19" s="268"/>
      <c r="T19" s="157"/>
      <c r="U19" s="158"/>
      <c r="V19" s="158"/>
      <c r="W19" s="158"/>
      <c r="X19" s="158"/>
      <c r="Y19" s="158"/>
      <c r="Z19" s="268"/>
      <c r="AA19" s="157"/>
      <c r="AB19" s="158"/>
      <c r="AC19" s="158"/>
      <c r="AD19" s="158"/>
      <c r="AE19" s="158"/>
      <c r="AF19" s="158"/>
      <c r="AG19" s="268"/>
      <c r="AH19" s="26"/>
      <c r="AI19" s="27"/>
      <c r="AJ19" s="27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</row>
    <row r="20" spans="1:57" s="218" customFormat="1" ht="15.75" outlineLevel="1" x14ac:dyDescent="0.25">
      <c r="A20" s="209" t="s">
        <v>109</v>
      </c>
      <c r="B20" s="210"/>
      <c r="C20" s="211"/>
      <c r="D20" s="212">
        <f>SUM(D21:D22)</f>
        <v>0</v>
      </c>
      <c r="E20" s="213"/>
      <c r="F20" s="188" t="str">
        <f t="shared" ref="F20:AG20" si="10">IF(CONCATENATE(F21,F22)&gt;" ","х"," ")</f>
        <v xml:space="preserve"> </v>
      </c>
      <c r="G20" s="214" t="str">
        <f t="shared" si="10"/>
        <v xml:space="preserve"> </v>
      </c>
      <c r="H20" s="214" t="str">
        <f t="shared" si="10"/>
        <v xml:space="preserve"> </v>
      </c>
      <c r="I20" s="214" t="str">
        <f t="shared" si="10"/>
        <v xml:space="preserve"> </v>
      </c>
      <c r="J20" s="214" t="str">
        <f t="shared" si="10"/>
        <v xml:space="preserve"> </v>
      </c>
      <c r="K20" s="214" t="str">
        <f t="shared" si="10"/>
        <v xml:space="preserve"> </v>
      </c>
      <c r="L20" s="266" t="str">
        <f t="shared" si="10"/>
        <v xml:space="preserve"> </v>
      </c>
      <c r="M20" s="188" t="str">
        <f t="shared" si="10"/>
        <v xml:space="preserve"> </v>
      </c>
      <c r="N20" s="214" t="str">
        <f t="shared" si="10"/>
        <v xml:space="preserve"> </v>
      </c>
      <c r="O20" s="214" t="str">
        <f t="shared" si="10"/>
        <v xml:space="preserve"> </v>
      </c>
      <c r="P20" s="214" t="str">
        <f t="shared" si="10"/>
        <v xml:space="preserve"> </v>
      </c>
      <c r="Q20" s="214" t="str">
        <f t="shared" si="10"/>
        <v xml:space="preserve"> </v>
      </c>
      <c r="R20" s="214" t="str">
        <f t="shared" si="10"/>
        <v xml:space="preserve"> </v>
      </c>
      <c r="S20" s="266" t="str">
        <f t="shared" si="10"/>
        <v xml:space="preserve"> </v>
      </c>
      <c r="T20" s="188" t="str">
        <f t="shared" si="10"/>
        <v xml:space="preserve"> </v>
      </c>
      <c r="U20" s="214" t="str">
        <f t="shared" si="10"/>
        <v xml:space="preserve"> </v>
      </c>
      <c r="V20" s="214" t="str">
        <f t="shared" si="10"/>
        <v xml:space="preserve"> </v>
      </c>
      <c r="W20" s="214" t="str">
        <f t="shared" si="10"/>
        <v xml:space="preserve"> </v>
      </c>
      <c r="X20" s="214" t="str">
        <f t="shared" si="10"/>
        <v xml:space="preserve"> </v>
      </c>
      <c r="Y20" s="214" t="str">
        <f t="shared" si="10"/>
        <v xml:space="preserve"> </v>
      </c>
      <c r="Z20" s="266" t="str">
        <f t="shared" si="10"/>
        <v xml:space="preserve"> </v>
      </c>
      <c r="AA20" s="188" t="str">
        <f t="shared" si="10"/>
        <v xml:space="preserve"> </v>
      </c>
      <c r="AB20" s="214" t="str">
        <f t="shared" si="10"/>
        <v xml:space="preserve"> </v>
      </c>
      <c r="AC20" s="214" t="str">
        <f t="shared" si="10"/>
        <v xml:space="preserve"> </v>
      </c>
      <c r="AD20" s="214" t="str">
        <f t="shared" si="10"/>
        <v xml:space="preserve"> </v>
      </c>
      <c r="AE20" s="214" t="str">
        <f t="shared" si="10"/>
        <v xml:space="preserve"> </v>
      </c>
      <c r="AF20" s="214" t="str">
        <f t="shared" si="10"/>
        <v xml:space="preserve"> </v>
      </c>
      <c r="AG20" s="266" t="str">
        <f t="shared" si="10"/>
        <v xml:space="preserve"> </v>
      </c>
      <c r="AH20" s="215"/>
      <c r="AI20" s="216"/>
      <c r="AJ20" s="216"/>
      <c r="AK20" s="217"/>
      <c r="AL20" s="217"/>
      <c r="AM20" s="217"/>
      <c r="AN20" s="217"/>
      <c r="AO20" s="217"/>
      <c r="AP20" s="217"/>
      <c r="AQ20" s="217"/>
      <c r="AR20" s="217"/>
      <c r="AS20" s="217"/>
      <c r="AT20" s="217"/>
      <c r="AU20" s="217"/>
      <c r="AV20" s="217"/>
      <c r="AW20" s="217"/>
      <c r="AX20" s="217"/>
      <c r="AY20" s="217"/>
      <c r="AZ20" s="217"/>
      <c r="BA20" s="217"/>
      <c r="BB20" s="217"/>
      <c r="BC20" s="217"/>
      <c r="BD20" s="217"/>
      <c r="BE20" s="217"/>
    </row>
    <row r="21" spans="1:57" outlineLevel="2" x14ac:dyDescent="0.25">
      <c r="A21" s="275" t="s">
        <v>114</v>
      </c>
      <c r="B21" s="253">
        <v>100000</v>
      </c>
      <c r="C21" s="147"/>
      <c r="D21" s="253">
        <f t="shared" ref="D21:D22" si="11">B21*C21</f>
        <v>0</v>
      </c>
      <c r="E21" s="11"/>
      <c r="F21" s="159"/>
      <c r="G21" s="160"/>
      <c r="H21" s="160"/>
      <c r="I21" s="160"/>
      <c r="J21" s="160"/>
      <c r="K21" s="160"/>
      <c r="L21" s="266"/>
      <c r="M21" s="159"/>
      <c r="N21" s="160"/>
      <c r="O21" s="160"/>
      <c r="P21" s="160"/>
      <c r="Q21" s="160"/>
      <c r="R21" s="160"/>
      <c r="S21" s="266"/>
      <c r="T21" s="159"/>
      <c r="U21" s="160"/>
      <c r="V21" s="160"/>
      <c r="W21" s="160"/>
      <c r="X21" s="160"/>
      <c r="Y21" s="160"/>
      <c r="Z21" s="266"/>
      <c r="AA21" s="159"/>
      <c r="AB21" s="160"/>
      <c r="AC21" s="160"/>
      <c r="AD21" s="160"/>
      <c r="AE21" s="160"/>
      <c r="AF21" s="160"/>
      <c r="AG21" s="266"/>
      <c r="AH21" s="29"/>
      <c r="AI21" s="30"/>
      <c r="AJ21" s="30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</row>
    <row r="22" spans="1:57" ht="30" outlineLevel="2" x14ac:dyDescent="0.25">
      <c r="A22" s="275" t="s">
        <v>115</v>
      </c>
      <c r="B22" s="253">
        <v>140000</v>
      </c>
      <c r="C22" s="147"/>
      <c r="D22" s="253">
        <f t="shared" si="11"/>
        <v>0</v>
      </c>
      <c r="E22" s="11"/>
      <c r="F22" s="159"/>
      <c r="G22" s="160"/>
      <c r="H22" s="160"/>
      <c r="I22" s="160"/>
      <c r="J22" s="160"/>
      <c r="K22" s="160"/>
      <c r="L22" s="266"/>
      <c r="M22" s="159"/>
      <c r="N22" s="160"/>
      <c r="O22" s="160"/>
      <c r="P22" s="160"/>
      <c r="Q22" s="160"/>
      <c r="R22" s="160"/>
      <c r="S22" s="266"/>
      <c r="T22" s="159"/>
      <c r="U22" s="160"/>
      <c r="V22" s="160"/>
      <c r="W22" s="160"/>
      <c r="X22" s="160"/>
      <c r="Y22" s="160"/>
      <c r="Z22" s="266"/>
      <c r="AA22" s="159"/>
      <c r="AB22" s="160"/>
      <c r="AC22" s="160"/>
      <c r="AD22" s="160"/>
      <c r="AE22" s="160"/>
      <c r="AF22" s="160"/>
      <c r="AG22" s="266"/>
      <c r="AH22" s="29"/>
      <c r="AI22" s="30"/>
      <c r="AJ22" s="30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</row>
    <row r="23" spans="1:57" s="9" customFormat="1" outlineLevel="1" x14ac:dyDescent="0.25">
      <c r="A23" s="277" t="s">
        <v>98</v>
      </c>
      <c r="B23" s="253">
        <v>40000</v>
      </c>
      <c r="C23" s="147"/>
      <c r="D23" s="253">
        <f t="shared" ref="D23:D32" si="12">B23*C23</f>
        <v>0</v>
      </c>
      <c r="E23" s="10"/>
      <c r="F23" s="159"/>
      <c r="G23" s="160"/>
      <c r="H23" s="160"/>
      <c r="I23" s="160"/>
      <c r="J23" s="160"/>
      <c r="K23" s="160"/>
      <c r="L23" s="266"/>
      <c r="M23" s="159"/>
      <c r="N23" s="160"/>
      <c r="O23" s="160"/>
      <c r="P23" s="160"/>
      <c r="Q23" s="160"/>
      <c r="R23" s="160"/>
      <c r="S23" s="266"/>
      <c r="T23" s="159"/>
      <c r="U23" s="160"/>
      <c r="V23" s="160"/>
      <c r="W23" s="160"/>
      <c r="X23" s="160"/>
      <c r="Y23" s="160"/>
      <c r="Z23" s="266"/>
      <c r="AA23" s="159"/>
      <c r="AB23" s="160"/>
      <c r="AC23" s="160"/>
      <c r="AD23" s="160"/>
      <c r="AE23" s="160"/>
      <c r="AF23" s="160"/>
      <c r="AG23" s="266"/>
      <c r="AH23" s="26"/>
      <c r="AI23" s="27"/>
      <c r="AJ23" s="27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</row>
    <row r="24" spans="1:57" s="9" customFormat="1" outlineLevel="1" x14ac:dyDescent="0.25">
      <c r="A24" s="277" t="s">
        <v>99</v>
      </c>
      <c r="B24" s="253">
        <v>80000</v>
      </c>
      <c r="C24" s="147"/>
      <c r="D24" s="253">
        <f t="shared" si="12"/>
        <v>0</v>
      </c>
      <c r="E24" s="10"/>
      <c r="F24" s="159"/>
      <c r="G24" s="160"/>
      <c r="H24" s="160"/>
      <c r="I24" s="160"/>
      <c r="J24" s="160"/>
      <c r="K24" s="160"/>
      <c r="L24" s="266"/>
      <c r="M24" s="159"/>
      <c r="N24" s="160"/>
      <c r="O24" s="160"/>
      <c r="P24" s="160"/>
      <c r="Q24" s="160"/>
      <c r="R24" s="160"/>
      <c r="S24" s="266"/>
      <c r="T24" s="159"/>
      <c r="U24" s="160"/>
      <c r="V24" s="160"/>
      <c r="W24" s="160"/>
      <c r="X24" s="160"/>
      <c r="Y24" s="160"/>
      <c r="Z24" s="266"/>
      <c r="AA24" s="159"/>
      <c r="AB24" s="160"/>
      <c r="AC24" s="160"/>
      <c r="AD24" s="160"/>
      <c r="AE24" s="160"/>
      <c r="AF24" s="160"/>
      <c r="AG24" s="266"/>
      <c r="AH24" s="26"/>
      <c r="AI24" s="27"/>
      <c r="AJ24" s="27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</row>
    <row r="25" spans="1:57" s="9" customFormat="1" outlineLevel="1" x14ac:dyDescent="0.25">
      <c r="A25" s="277" t="s">
        <v>100</v>
      </c>
      <c r="B25" s="253">
        <v>155000</v>
      </c>
      <c r="C25" s="147"/>
      <c r="D25" s="253">
        <f t="shared" si="12"/>
        <v>0</v>
      </c>
      <c r="E25" s="10"/>
      <c r="F25" s="159"/>
      <c r="G25" s="160"/>
      <c r="H25" s="160"/>
      <c r="I25" s="160"/>
      <c r="J25" s="160"/>
      <c r="K25" s="160"/>
      <c r="L25" s="266"/>
      <c r="M25" s="159"/>
      <c r="N25" s="160"/>
      <c r="O25" s="160"/>
      <c r="P25" s="160"/>
      <c r="Q25" s="160"/>
      <c r="R25" s="160"/>
      <c r="S25" s="266"/>
      <c r="T25" s="159"/>
      <c r="U25" s="160"/>
      <c r="V25" s="160"/>
      <c r="W25" s="160"/>
      <c r="X25" s="160"/>
      <c r="Y25" s="160"/>
      <c r="Z25" s="266"/>
      <c r="AA25" s="159"/>
      <c r="AB25" s="160"/>
      <c r="AC25" s="160"/>
      <c r="AD25" s="160"/>
      <c r="AE25" s="160"/>
      <c r="AF25" s="160"/>
      <c r="AG25" s="266"/>
      <c r="AH25" s="26"/>
      <c r="AI25" s="27"/>
      <c r="AJ25" s="27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  <c r="AW25" s="28"/>
      <c r="AX25" s="28"/>
      <c r="AY25" s="28"/>
      <c r="AZ25" s="28"/>
      <c r="BA25" s="28"/>
      <c r="BB25" s="28"/>
      <c r="BC25" s="28"/>
      <c r="BD25" s="28"/>
      <c r="BE25" s="28"/>
    </row>
    <row r="26" spans="1:57" s="9" customFormat="1" outlineLevel="1" x14ac:dyDescent="0.25">
      <c r="A26" s="277" t="s">
        <v>101</v>
      </c>
      <c r="B26" s="253">
        <v>195000</v>
      </c>
      <c r="C26" s="147"/>
      <c r="D26" s="253">
        <f t="shared" si="12"/>
        <v>0</v>
      </c>
      <c r="E26" s="10"/>
      <c r="F26" s="159"/>
      <c r="G26" s="160"/>
      <c r="H26" s="160"/>
      <c r="I26" s="160"/>
      <c r="J26" s="160"/>
      <c r="K26" s="160"/>
      <c r="L26" s="266"/>
      <c r="M26" s="159"/>
      <c r="N26" s="160"/>
      <c r="O26" s="160"/>
      <c r="P26" s="160"/>
      <c r="Q26" s="160"/>
      <c r="R26" s="160"/>
      <c r="S26" s="266"/>
      <c r="T26" s="159"/>
      <c r="U26" s="160"/>
      <c r="V26" s="160"/>
      <c r="W26" s="160"/>
      <c r="X26" s="160"/>
      <c r="Y26" s="160"/>
      <c r="Z26" s="266"/>
      <c r="AA26" s="159"/>
      <c r="AB26" s="160"/>
      <c r="AC26" s="160"/>
      <c r="AD26" s="160"/>
      <c r="AE26" s="160"/>
      <c r="AF26" s="160"/>
      <c r="AG26" s="266"/>
      <c r="AH26" s="26"/>
      <c r="AI26" s="27"/>
      <c r="AJ26" s="27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28"/>
      <c r="BA26" s="28"/>
      <c r="BB26" s="28"/>
      <c r="BC26" s="28"/>
      <c r="BD26" s="28"/>
      <c r="BE26" s="28"/>
    </row>
    <row r="27" spans="1:57" s="9" customFormat="1" outlineLevel="1" x14ac:dyDescent="0.25">
      <c r="A27" s="275" t="s">
        <v>110</v>
      </c>
      <c r="B27" s="253">
        <v>40000</v>
      </c>
      <c r="C27" s="147"/>
      <c r="D27" s="253">
        <f t="shared" si="12"/>
        <v>0</v>
      </c>
      <c r="E27" s="10"/>
      <c r="F27" s="159"/>
      <c r="G27" s="160"/>
      <c r="H27" s="160"/>
      <c r="I27" s="160"/>
      <c r="J27" s="160"/>
      <c r="K27" s="160"/>
      <c r="L27" s="266"/>
      <c r="M27" s="159"/>
      <c r="N27" s="160"/>
      <c r="O27" s="160"/>
      <c r="P27" s="160"/>
      <c r="Q27" s="160"/>
      <c r="R27" s="160"/>
      <c r="S27" s="266"/>
      <c r="T27" s="159"/>
      <c r="U27" s="160"/>
      <c r="V27" s="160"/>
      <c r="W27" s="160"/>
      <c r="X27" s="160"/>
      <c r="Y27" s="160"/>
      <c r="Z27" s="266"/>
      <c r="AA27" s="159"/>
      <c r="AB27" s="160"/>
      <c r="AC27" s="160"/>
      <c r="AD27" s="160"/>
      <c r="AE27" s="160"/>
      <c r="AF27" s="160"/>
      <c r="AG27" s="266"/>
      <c r="AH27" s="26"/>
      <c r="AI27" s="27"/>
      <c r="AJ27" s="27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  <c r="AW27" s="28"/>
      <c r="AX27" s="28"/>
      <c r="AY27" s="28"/>
      <c r="AZ27" s="28"/>
      <c r="BA27" s="28"/>
      <c r="BB27" s="28"/>
      <c r="BC27" s="28"/>
      <c r="BD27" s="28"/>
      <c r="BE27" s="28"/>
    </row>
    <row r="28" spans="1:57" s="9" customFormat="1" ht="30" outlineLevel="2" x14ac:dyDescent="0.25">
      <c r="A28" s="278" t="s">
        <v>113</v>
      </c>
      <c r="B28" s="253">
        <v>4000</v>
      </c>
      <c r="C28" s="147"/>
      <c r="D28" s="253">
        <f t="shared" si="12"/>
        <v>0</v>
      </c>
      <c r="E28" s="48"/>
      <c r="F28" s="159"/>
      <c r="G28" s="160"/>
      <c r="H28" s="160"/>
      <c r="I28" s="160"/>
      <c r="J28" s="160"/>
      <c r="K28" s="160"/>
      <c r="L28" s="266"/>
      <c r="M28" s="159"/>
      <c r="N28" s="160"/>
      <c r="O28" s="160"/>
      <c r="P28" s="160"/>
      <c r="Q28" s="160"/>
      <c r="R28" s="160"/>
      <c r="S28" s="266"/>
      <c r="T28" s="159"/>
      <c r="U28" s="160"/>
      <c r="V28" s="160"/>
      <c r="W28" s="160"/>
      <c r="X28" s="160"/>
      <c r="Y28" s="160"/>
      <c r="Z28" s="266"/>
      <c r="AA28" s="159"/>
      <c r="AB28" s="160"/>
      <c r="AC28" s="160"/>
      <c r="AD28" s="160"/>
      <c r="AE28" s="160"/>
      <c r="AF28" s="160"/>
      <c r="AG28" s="266"/>
      <c r="AH28" s="26"/>
      <c r="AI28" s="27"/>
      <c r="AJ28" s="27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28"/>
    </row>
    <row r="29" spans="1:57" s="9" customFormat="1" outlineLevel="1" x14ac:dyDescent="0.25">
      <c r="A29" s="278" t="s">
        <v>111</v>
      </c>
      <c r="B29" s="253">
        <v>55000</v>
      </c>
      <c r="C29" s="147"/>
      <c r="D29" s="253">
        <f t="shared" si="12"/>
        <v>0</v>
      </c>
      <c r="E29" s="48"/>
      <c r="F29" s="159"/>
      <c r="G29" s="160"/>
      <c r="H29" s="160"/>
      <c r="I29" s="160"/>
      <c r="J29" s="160"/>
      <c r="K29" s="160"/>
      <c r="L29" s="266"/>
      <c r="M29" s="159"/>
      <c r="N29" s="160"/>
      <c r="O29" s="160"/>
      <c r="P29" s="160"/>
      <c r="Q29" s="160"/>
      <c r="R29" s="160"/>
      <c r="S29" s="266"/>
      <c r="T29" s="159"/>
      <c r="U29" s="160"/>
      <c r="V29" s="160"/>
      <c r="W29" s="160"/>
      <c r="X29" s="160"/>
      <c r="Y29" s="160"/>
      <c r="Z29" s="266"/>
      <c r="AA29" s="159"/>
      <c r="AB29" s="160"/>
      <c r="AC29" s="160"/>
      <c r="AD29" s="160"/>
      <c r="AE29" s="160"/>
      <c r="AF29" s="160"/>
      <c r="AG29" s="266"/>
      <c r="AH29" s="26"/>
      <c r="AI29" s="27"/>
      <c r="AJ29" s="27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</row>
    <row r="30" spans="1:57" s="9" customFormat="1" ht="30" outlineLevel="2" x14ac:dyDescent="0.25">
      <c r="A30" s="278" t="s">
        <v>113</v>
      </c>
      <c r="B30" s="255">
        <v>5000</v>
      </c>
      <c r="C30" s="147"/>
      <c r="D30" s="255">
        <f t="shared" si="12"/>
        <v>0</v>
      </c>
      <c r="E30" s="48"/>
      <c r="F30" s="159"/>
      <c r="G30" s="160"/>
      <c r="H30" s="160"/>
      <c r="I30" s="160"/>
      <c r="J30" s="160"/>
      <c r="K30" s="160"/>
      <c r="L30" s="266"/>
      <c r="M30" s="159"/>
      <c r="N30" s="160"/>
      <c r="O30" s="160"/>
      <c r="P30" s="160"/>
      <c r="Q30" s="160"/>
      <c r="R30" s="160"/>
      <c r="S30" s="266"/>
      <c r="T30" s="159"/>
      <c r="U30" s="160"/>
      <c r="V30" s="160"/>
      <c r="W30" s="160"/>
      <c r="X30" s="160"/>
      <c r="Y30" s="160"/>
      <c r="Z30" s="266"/>
      <c r="AA30" s="159"/>
      <c r="AB30" s="160"/>
      <c r="AC30" s="160"/>
      <c r="AD30" s="160"/>
      <c r="AE30" s="160"/>
      <c r="AF30" s="160"/>
      <c r="AG30" s="266"/>
      <c r="AH30" s="26"/>
      <c r="AI30" s="27"/>
      <c r="AJ30" s="27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</row>
    <row r="31" spans="1:57" s="67" customFormat="1" outlineLevel="1" x14ac:dyDescent="0.25">
      <c r="A31" s="279" t="s">
        <v>112</v>
      </c>
      <c r="B31" s="255">
        <v>75000</v>
      </c>
      <c r="C31" s="147"/>
      <c r="D31" s="255">
        <f t="shared" si="12"/>
        <v>0</v>
      </c>
      <c r="E31" s="63"/>
      <c r="F31" s="159"/>
      <c r="G31" s="160"/>
      <c r="H31" s="160"/>
      <c r="I31" s="160"/>
      <c r="J31" s="160"/>
      <c r="K31" s="160"/>
      <c r="L31" s="266"/>
      <c r="M31" s="159"/>
      <c r="N31" s="160"/>
      <c r="O31" s="160"/>
      <c r="P31" s="160"/>
      <c r="Q31" s="160"/>
      <c r="R31" s="160"/>
      <c r="S31" s="266"/>
      <c r="T31" s="159"/>
      <c r="U31" s="160"/>
      <c r="V31" s="160"/>
      <c r="W31" s="160"/>
      <c r="X31" s="160"/>
      <c r="Y31" s="160"/>
      <c r="Z31" s="266"/>
      <c r="AA31" s="159"/>
      <c r="AB31" s="160"/>
      <c r="AC31" s="160"/>
      <c r="AD31" s="160"/>
      <c r="AE31" s="160"/>
      <c r="AF31" s="160"/>
      <c r="AG31" s="266"/>
      <c r="AH31" s="64"/>
      <c r="AI31" s="65"/>
      <c r="AJ31" s="65"/>
      <c r="AK31" s="66"/>
      <c r="AL31" s="66"/>
      <c r="AM31" s="66"/>
      <c r="AN31" s="66"/>
      <c r="AO31" s="66"/>
      <c r="AP31" s="66"/>
      <c r="AQ31" s="66"/>
      <c r="AR31" s="66"/>
      <c r="AS31" s="66"/>
      <c r="AT31" s="66"/>
      <c r="AU31" s="66"/>
      <c r="AV31" s="66"/>
      <c r="AW31" s="66"/>
      <c r="AX31" s="66"/>
      <c r="AY31" s="66"/>
      <c r="AZ31" s="66"/>
      <c r="BA31" s="66"/>
      <c r="BB31" s="66"/>
      <c r="BC31" s="66"/>
      <c r="BD31" s="66"/>
      <c r="BE31" s="66"/>
    </row>
    <row r="32" spans="1:57" s="67" customFormat="1" ht="30.75" outlineLevel="2" thickBot="1" x14ac:dyDescent="0.3">
      <c r="A32" s="278" t="s">
        <v>113</v>
      </c>
      <c r="B32" s="280">
        <v>6000</v>
      </c>
      <c r="C32" s="149"/>
      <c r="D32" s="256">
        <f t="shared" si="12"/>
        <v>0</v>
      </c>
      <c r="E32" s="68"/>
      <c r="F32" s="159"/>
      <c r="G32" s="160"/>
      <c r="H32" s="160"/>
      <c r="I32" s="160"/>
      <c r="J32" s="160"/>
      <c r="K32" s="160"/>
      <c r="L32" s="266"/>
      <c r="M32" s="159"/>
      <c r="N32" s="160"/>
      <c r="O32" s="160"/>
      <c r="P32" s="160"/>
      <c r="Q32" s="160"/>
      <c r="R32" s="160"/>
      <c r="S32" s="266"/>
      <c r="T32" s="159"/>
      <c r="U32" s="160"/>
      <c r="V32" s="160"/>
      <c r="W32" s="160"/>
      <c r="X32" s="160"/>
      <c r="Y32" s="160"/>
      <c r="Z32" s="266"/>
      <c r="AA32" s="159"/>
      <c r="AB32" s="160"/>
      <c r="AC32" s="160"/>
      <c r="AD32" s="160"/>
      <c r="AE32" s="160"/>
      <c r="AF32" s="160"/>
      <c r="AG32" s="266"/>
      <c r="AH32" s="64"/>
      <c r="AI32" s="65"/>
      <c r="AJ32" s="65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</row>
    <row r="33" spans="1:57" s="208" customFormat="1" ht="24" thickBot="1" x14ac:dyDescent="0.3">
      <c r="A33" s="219" t="s">
        <v>0</v>
      </c>
      <c r="B33" s="202"/>
      <c r="C33" s="200"/>
      <c r="D33" s="201">
        <f>SUM(D34:D37,D59,D71,D48:D57)</f>
        <v>0</v>
      </c>
      <c r="E33" s="202"/>
      <c r="F33" s="203" t="str">
        <f>IF((CONCATENATE(F34,F35,F40,F41,F36,F38,F39,F42,F43,F44,F45,F46,F47,F48,F49,F50,F51,F52,F53,F54,F55,F56,F57,F58,F60,F61,F62,F63,F64,F65,F67,F69,F70,F72,F73,F74,F76,F77,F78))&gt;" ","х"," ")</f>
        <v xml:space="preserve"> </v>
      </c>
      <c r="G33" s="204" t="str">
        <f>IF((CONCATENATE(G34,G35,G40,G41,G36,G38,G39,G42,G43,G44,G45,G46,G47,G48,G49,G50,G51,G52,G53,G54,G55,G56,G57,G58,G60,G61,G62,G63,G64,G65,G67,G69,G70,G72,G73,G74,G76,G77,G78))&gt;" ","х"," ")</f>
        <v xml:space="preserve"> </v>
      </c>
      <c r="H33" s="204" t="str">
        <f t="shared" ref="H33:L33" si="13">IF((CONCATENATE(H34,H35,H40,H41,H36,H38,H39,H42,H43,H44,H45,H46,H47,H48,H49,H50,H51,H52,H53,H54,H55,H56,H57,H58,H60,H61,H62,H63,H64,H65,H67,H69,H70,H72,H73,H74,H76,H77,H78))&gt;" ","х"," ")</f>
        <v xml:space="preserve"> </v>
      </c>
      <c r="I33" s="204" t="str">
        <f t="shared" si="13"/>
        <v xml:space="preserve"> </v>
      </c>
      <c r="J33" s="204" t="str">
        <f t="shared" si="13"/>
        <v xml:space="preserve"> </v>
      </c>
      <c r="K33" s="204" t="str">
        <f t="shared" si="13"/>
        <v xml:space="preserve"> </v>
      </c>
      <c r="L33" s="205" t="str">
        <f t="shared" si="13"/>
        <v xml:space="preserve"> </v>
      </c>
      <c r="M33" s="203" t="str">
        <f>IF((CONCATENATE(M34,M35,M40,M41,M36,M38,M39,M42,M43,M44,M45,M46,M47,M48,M49,M50,M51,M52,M53,M54,M55,M56,M57,M58,M60,M61,M62,M63,M64,M65,M67,M69,M70,M72,M73,M74,M76,M77,M78))&gt;" ","х"," ")</f>
        <v xml:space="preserve"> </v>
      </c>
      <c r="N33" s="204" t="str">
        <f>IF((CONCATENATE(N34,N35,N40,N41,N36,N38,N39,N42,N43,N44,N45,N46,N47,N48,N49,N50,N51,N52,N53,N54,N55,N56,N57,N58,N60,N61,N62,N63,N64,N65,N67,N69,N70,N72,N73,N74,N76,N77,N78))&gt;" ","х"," ")</f>
        <v xml:space="preserve"> </v>
      </c>
      <c r="O33" s="204" t="str">
        <f t="shared" ref="O33:S33" si="14">IF((CONCATENATE(O34,O35,O40,O41,O36,O38,O39,O42,O43,O44,O45,O46,O47,O48,O49,O50,O51,O52,O53,O54,O55,O56,O57,O58,O60,O61,O62,O63,O64,O65,O67,O69,O70,O72,O73,O74,O76,O77,O78))&gt;" ","х"," ")</f>
        <v xml:space="preserve"> </v>
      </c>
      <c r="P33" s="204" t="str">
        <f t="shared" si="14"/>
        <v xml:space="preserve"> </v>
      </c>
      <c r="Q33" s="204" t="str">
        <f t="shared" si="14"/>
        <v xml:space="preserve"> </v>
      </c>
      <c r="R33" s="204" t="str">
        <f t="shared" si="14"/>
        <v xml:space="preserve"> </v>
      </c>
      <c r="S33" s="205" t="str">
        <f t="shared" si="14"/>
        <v xml:space="preserve"> </v>
      </c>
      <c r="T33" s="203" t="str">
        <f>IF((CONCATENATE(T34,T35,T40,T41,T36,T38,T39,T42,T43,T44,T45,T46,T47,T48,T49,T50,T51,T52,T53,T54,T55,T56,T57,T58,T60,T61,T62,T63,T64,T65,T67,T69,T70,T72,T73,T74,T76,T77,T78))&gt;" ","х"," ")</f>
        <v xml:space="preserve"> </v>
      </c>
      <c r="U33" s="204" t="str">
        <f>IF((CONCATENATE(U34,U35,U40,U41,U36,U38,U39,U42,U43,U44,U45,U46,U47,U48,U49,U50,U51,U52,U53,U54,U55,U56,U57,U58,U60,U61,U62,U63,U64,U65,U67,U69,U70,U72,U73,U74,U76,U77,U78))&gt;" ","х"," ")</f>
        <v xml:space="preserve"> </v>
      </c>
      <c r="V33" s="204" t="str">
        <f t="shared" ref="V33:Z33" si="15">IF((CONCATENATE(V34,V35,V40,V41,V36,V38,V39,V42,V43,V44,V45,V46,V47,V48,V49,V50,V51,V52,V53,V54,V55,V56,V57,V58,V60,V61,V62,V63,V64,V65,V67,V69,V70,V72,V73,V74,V76,V77,V78))&gt;" ","х"," ")</f>
        <v xml:space="preserve"> </v>
      </c>
      <c r="W33" s="204" t="str">
        <f t="shared" si="15"/>
        <v xml:space="preserve"> </v>
      </c>
      <c r="X33" s="204" t="str">
        <f t="shared" si="15"/>
        <v xml:space="preserve"> </v>
      </c>
      <c r="Y33" s="204" t="str">
        <f t="shared" si="15"/>
        <v xml:space="preserve"> </v>
      </c>
      <c r="Z33" s="205" t="str">
        <f t="shared" si="15"/>
        <v xml:space="preserve"> </v>
      </c>
      <c r="AA33" s="203" t="str">
        <f>IF((CONCATENATE(AA34,AA35,AA40,AA41,AA36,AA38,AA39,AA42,AA43,AA44,AA45,AA46,AA47,AA48,AA49,AA50,AA51,AA52,AA53,AA54,AA55,AA56,AA57,AA58,AA60,AA61,AA62,AA63,AA64,AA65,AA67,AA69,AA70,AA72,AA73,AA74,AA76,AA77,AA78))&gt;" ","х"," ")</f>
        <v xml:space="preserve"> </v>
      </c>
      <c r="AB33" s="204" t="str">
        <f>IF((CONCATENATE(AB34,AB35,AB40,AB41,AB36,AB38,AB39,AB42,AB43,AB44,AB45,AB46,AB47,AB48,AB49,AB50,AB51,AB52,AB53,AB54,AB55,AB56,AB57,AB58,AB60,AB61,AB62,AB63,AB64,AB65,AB67,AB69,AB70,AB72,AB73,AB74,AB76,AB77,AB78))&gt;" ","х"," ")</f>
        <v xml:space="preserve"> </v>
      </c>
      <c r="AC33" s="204" t="str">
        <f t="shared" ref="AC33:AG33" si="16">IF((CONCATENATE(AC34,AC35,AC40,AC41,AC36,AC38,AC39,AC42,AC43,AC44,AC45,AC46,AC47,AC48,AC49,AC50,AC51,AC52,AC53,AC54,AC55,AC56,AC57,AC58,AC60,AC61,AC62,AC63,AC64,AC65,AC67,AC69,AC70,AC72,AC73,AC74,AC76,AC77,AC78))&gt;" ","х"," ")</f>
        <v xml:space="preserve"> </v>
      </c>
      <c r="AD33" s="204" t="str">
        <f t="shared" si="16"/>
        <v xml:space="preserve"> </v>
      </c>
      <c r="AE33" s="204" t="str">
        <f t="shared" si="16"/>
        <v xml:space="preserve"> </v>
      </c>
      <c r="AF33" s="204" t="str">
        <f t="shared" si="16"/>
        <v xml:space="preserve"> </v>
      </c>
      <c r="AG33" s="205" t="str">
        <f t="shared" si="16"/>
        <v xml:space="preserve"> </v>
      </c>
      <c r="AH33" s="206"/>
      <c r="AI33" s="207"/>
      <c r="AJ33" s="207"/>
    </row>
    <row r="34" spans="1:57" outlineLevel="1" x14ac:dyDescent="0.25">
      <c r="A34" s="274" t="s">
        <v>70</v>
      </c>
      <c r="B34" s="257">
        <v>88000</v>
      </c>
      <c r="C34" s="150"/>
      <c r="D34" s="257">
        <f>B34*C34</f>
        <v>0</v>
      </c>
      <c r="E34" s="21"/>
      <c r="F34" s="157"/>
      <c r="G34" s="158"/>
      <c r="H34" s="158"/>
      <c r="I34" s="158"/>
      <c r="J34" s="158"/>
      <c r="K34" s="158"/>
      <c r="L34" s="268"/>
      <c r="M34" s="157"/>
      <c r="N34" s="158"/>
      <c r="O34" s="158"/>
      <c r="P34" s="158"/>
      <c r="Q34" s="158"/>
      <c r="R34" s="158"/>
      <c r="S34" s="268"/>
      <c r="T34" s="157"/>
      <c r="U34" s="158"/>
      <c r="V34" s="158"/>
      <c r="W34" s="158"/>
      <c r="X34" s="158"/>
      <c r="Y34" s="158"/>
      <c r="Z34" s="268"/>
      <c r="AA34" s="157"/>
      <c r="AB34" s="158"/>
      <c r="AC34" s="158"/>
      <c r="AD34" s="158"/>
      <c r="AE34" s="158"/>
      <c r="AF34" s="158"/>
      <c r="AG34" s="268"/>
      <c r="AH34" s="29"/>
      <c r="AI34" s="30"/>
      <c r="AJ34" s="30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  <c r="AZ34" s="31"/>
      <c r="BA34" s="31"/>
      <c r="BB34" s="31"/>
      <c r="BC34" s="31"/>
      <c r="BD34" s="31"/>
      <c r="BE34" s="31"/>
    </row>
    <row r="35" spans="1:57" outlineLevel="1" x14ac:dyDescent="0.25">
      <c r="A35" s="274" t="s">
        <v>71</v>
      </c>
      <c r="B35" s="257">
        <v>116000</v>
      </c>
      <c r="C35" s="150"/>
      <c r="D35" s="257">
        <f t="shared" ref="D35:D47" si="17">B35*C35</f>
        <v>0</v>
      </c>
      <c r="E35" s="21"/>
      <c r="F35" s="157"/>
      <c r="G35" s="158"/>
      <c r="H35" s="158"/>
      <c r="I35" s="158"/>
      <c r="J35" s="158"/>
      <c r="K35" s="158"/>
      <c r="L35" s="268"/>
      <c r="M35" s="157"/>
      <c r="N35" s="158"/>
      <c r="O35" s="158"/>
      <c r="P35" s="158"/>
      <c r="Q35" s="158"/>
      <c r="R35" s="158"/>
      <c r="S35" s="268"/>
      <c r="T35" s="157"/>
      <c r="U35" s="158"/>
      <c r="V35" s="158"/>
      <c r="W35" s="158"/>
      <c r="X35" s="158"/>
      <c r="Y35" s="158"/>
      <c r="Z35" s="268"/>
      <c r="AA35" s="157"/>
      <c r="AB35" s="158"/>
      <c r="AC35" s="158"/>
      <c r="AD35" s="158"/>
      <c r="AE35" s="158"/>
      <c r="AF35" s="158"/>
      <c r="AG35" s="268"/>
      <c r="AH35" s="29"/>
      <c r="AI35" s="30"/>
      <c r="AJ35" s="30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  <c r="AZ35" s="31"/>
      <c r="BA35" s="31"/>
      <c r="BB35" s="31"/>
      <c r="BC35" s="31"/>
      <c r="BD35" s="31"/>
      <c r="BE35" s="31"/>
    </row>
    <row r="36" spans="1:57" outlineLevel="1" x14ac:dyDescent="0.25">
      <c r="A36" s="274" t="s">
        <v>72</v>
      </c>
      <c r="B36" s="257">
        <v>257000</v>
      </c>
      <c r="C36" s="150"/>
      <c r="D36" s="257">
        <f t="shared" si="17"/>
        <v>0</v>
      </c>
      <c r="E36" s="21"/>
      <c r="F36" s="157"/>
      <c r="G36" s="158"/>
      <c r="H36" s="158"/>
      <c r="I36" s="158"/>
      <c r="J36" s="158"/>
      <c r="K36" s="158"/>
      <c r="L36" s="268"/>
      <c r="M36" s="157"/>
      <c r="N36" s="158"/>
      <c r="O36" s="158"/>
      <c r="P36" s="158"/>
      <c r="Q36" s="158"/>
      <c r="R36" s="158"/>
      <c r="S36" s="268"/>
      <c r="T36" s="157"/>
      <c r="U36" s="158"/>
      <c r="V36" s="158"/>
      <c r="W36" s="158"/>
      <c r="X36" s="158"/>
      <c r="Y36" s="158"/>
      <c r="Z36" s="268"/>
      <c r="AA36" s="157"/>
      <c r="AB36" s="158"/>
      <c r="AC36" s="158"/>
      <c r="AD36" s="158"/>
      <c r="AE36" s="158"/>
      <c r="AF36" s="158"/>
      <c r="AG36" s="268"/>
      <c r="AH36" s="29"/>
      <c r="AI36" s="30"/>
      <c r="AJ36" s="30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1"/>
      <c r="BD36" s="31"/>
      <c r="BE36" s="31"/>
    </row>
    <row r="37" spans="1:57" s="218" customFormat="1" ht="15.75" outlineLevel="1" x14ac:dyDescent="0.25">
      <c r="A37" s="220" t="s">
        <v>73</v>
      </c>
      <c r="B37" s="221"/>
      <c r="C37" s="222"/>
      <c r="D37" s="223">
        <f>SUM(D38:D47)</f>
        <v>0</v>
      </c>
      <c r="E37" s="224"/>
      <c r="F37" s="225" t="str">
        <f>IF(CONCATENATE(F38,F39,F40,F41,F42,F43,F44,F45,F46,F47)&gt;" ","х"," ")</f>
        <v xml:space="preserve"> </v>
      </c>
      <c r="G37" s="226" t="str">
        <f>IF(CONCATENATE(G38,G39,G40,G41,G42,G43,G44,G45,G46,G47)&gt;" ","х"," ")</f>
        <v xml:space="preserve"> </v>
      </c>
      <c r="H37" s="226" t="str">
        <f t="shared" ref="H37:L37" si="18">IF(CONCATENATE(H38,H39,H40,H41,H42,H43,H44,H45,H46,H47)&gt;" ","х"," ")</f>
        <v xml:space="preserve"> </v>
      </c>
      <c r="I37" s="226" t="str">
        <f t="shared" si="18"/>
        <v xml:space="preserve"> </v>
      </c>
      <c r="J37" s="226" t="str">
        <f t="shared" si="18"/>
        <v xml:space="preserve"> </v>
      </c>
      <c r="K37" s="226" t="str">
        <f t="shared" si="18"/>
        <v xml:space="preserve"> </v>
      </c>
      <c r="L37" s="268" t="str">
        <f t="shared" si="18"/>
        <v xml:space="preserve"> </v>
      </c>
      <c r="M37" s="225" t="str">
        <f>IF(CONCATENATE(M38,M39,M40,M41,M42,M43,M44,M45,M46,M47)&gt;" ","х"," ")</f>
        <v xml:space="preserve"> </v>
      </c>
      <c r="N37" s="226" t="str">
        <f>IF(CONCATENATE(N38,N39,N40,N41,N42,N43,N44,N45,N46,N47)&gt;" ","х"," ")</f>
        <v xml:space="preserve"> </v>
      </c>
      <c r="O37" s="226" t="str">
        <f t="shared" ref="O37:S37" si="19">IF(CONCATENATE(O38,O39,O40,O41,O42,O43,O44,O45,O46,O47)&gt;" ","х"," ")</f>
        <v xml:space="preserve"> </v>
      </c>
      <c r="P37" s="226" t="str">
        <f t="shared" si="19"/>
        <v xml:space="preserve"> </v>
      </c>
      <c r="Q37" s="226" t="str">
        <f t="shared" si="19"/>
        <v xml:space="preserve"> </v>
      </c>
      <c r="R37" s="226" t="str">
        <f t="shared" si="19"/>
        <v xml:space="preserve"> </v>
      </c>
      <c r="S37" s="268" t="str">
        <f t="shared" si="19"/>
        <v xml:space="preserve"> </v>
      </c>
      <c r="T37" s="225" t="str">
        <f>IF(CONCATENATE(T38,T39,T40,T41,T42,T43,T44,T45,T46,T47)&gt;" ","х"," ")</f>
        <v xml:space="preserve"> </v>
      </c>
      <c r="U37" s="226" t="str">
        <f>IF(CONCATENATE(U38,U39,U40,U41,U42,U43,U44,U45,U46,U47)&gt;" ","х"," ")</f>
        <v xml:space="preserve"> </v>
      </c>
      <c r="V37" s="226" t="str">
        <f t="shared" ref="V37:Z37" si="20">IF(CONCATENATE(V38,V39,V40,V41,V42,V43,V44,V45,V46,V47)&gt;" ","х"," ")</f>
        <v xml:space="preserve"> </v>
      </c>
      <c r="W37" s="226" t="str">
        <f t="shared" si="20"/>
        <v xml:space="preserve"> </v>
      </c>
      <c r="X37" s="226" t="str">
        <f t="shared" si="20"/>
        <v xml:space="preserve"> </v>
      </c>
      <c r="Y37" s="226" t="str">
        <f t="shared" si="20"/>
        <v xml:space="preserve"> </v>
      </c>
      <c r="Z37" s="268" t="str">
        <f t="shared" si="20"/>
        <v xml:space="preserve"> </v>
      </c>
      <c r="AA37" s="225" t="str">
        <f>IF(CONCATENATE(AA38,AA39,AA40,AA41,AA42,AA43,AA44,AA45,AA46,AA47)&gt;" ","х"," ")</f>
        <v xml:space="preserve"> </v>
      </c>
      <c r="AB37" s="226" t="str">
        <f>IF(CONCATENATE(AB38,AB39,AB40,AB41,AB42,AB43,AB44,AB45,AB46,AB47)&gt;" ","х"," ")</f>
        <v xml:space="preserve"> </v>
      </c>
      <c r="AC37" s="226" t="str">
        <f t="shared" ref="AC37:AG37" si="21">IF(CONCATENATE(AC38,AC39,AC40,AC41,AC42,AC43,AC44,AC45,AC46,AC47)&gt;" ","х"," ")</f>
        <v xml:space="preserve"> </v>
      </c>
      <c r="AD37" s="226" t="str">
        <f t="shared" si="21"/>
        <v xml:space="preserve"> </v>
      </c>
      <c r="AE37" s="226" t="str">
        <f t="shared" si="21"/>
        <v xml:space="preserve"> </v>
      </c>
      <c r="AF37" s="226" t="str">
        <f t="shared" si="21"/>
        <v xml:space="preserve"> </v>
      </c>
      <c r="AG37" s="268" t="str">
        <f t="shared" si="21"/>
        <v xml:space="preserve"> </v>
      </c>
      <c r="AH37" s="215"/>
      <c r="AI37" s="216"/>
      <c r="AJ37" s="216"/>
      <c r="AK37" s="217"/>
      <c r="AL37" s="217"/>
      <c r="AM37" s="217"/>
      <c r="AN37" s="217"/>
      <c r="AO37" s="217"/>
      <c r="AP37" s="217"/>
      <c r="AQ37" s="217"/>
      <c r="AR37" s="217"/>
      <c r="AS37" s="217"/>
      <c r="AT37" s="217"/>
      <c r="AU37" s="217"/>
      <c r="AV37" s="217"/>
      <c r="AW37" s="217"/>
      <c r="AX37" s="217"/>
      <c r="AY37" s="217"/>
      <c r="AZ37" s="217"/>
      <c r="BA37" s="217"/>
      <c r="BB37" s="217"/>
      <c r="BC37" s="217"/>
      <c r="BD37" s="217"/>
      <c r="BE37" s="217"/>
    </row>
    <row r="38" spans="1:57" ht="45" outlineLevel="2" x14ac:dyDescent="0.25">
      <c r="A38" s="281" t="s">
        <v>103</v>
      </c>
      <c r="B38" s="257">
        <f>10000+28000+20000</f>
        <v>58000</v>
      </c>
      <c r="C38" s="151"/>
      <c r="D38" s="257">
        <f t="shared" si="17"/>
        <v>0</v>
      </c>
      <c r="E38" s="21"/>
      <c r="F38" s="157"/>
      <c r="G38" s="158"/>
      <c r="H38" s="158"/>
      <c r="I38" s="158"/>
      <c r="J38" s="158"/>
      <c r="K38" s="158"/>
      <c r="L38" s="268"/>
      <c r="M38" s="157"/>
      <c r="N38" s="158"/>
      <c r="O38" s="158"/>
      <c r="P38" s="158"/>
      <c r="Q38" s="158"/>
      <c r="R38" s="158"/>
      <c r="S38" s="268"/>
      <c r="T38" s="157"/>
      <c r="U38" s="158"/>
      <c r="V38" s="158"/>
      <c r="W38" s="158"/>
      <c r="X38" s="158"/>
      <c r="Y38" s="158"/>
      <c r="Z38" s="268"/>
      <c r="AA38" s="157"/>
      <c r="AB38" s="158"/>
      <c r="AC38" s="158"/>
      <c r="AD38" s="158"/>
      <c r="AE38" s="158"/>
      <c r="AF38" s="158"/>
      <c r="AG38" s="268"/>
      <c r="AH38" s="29"/>
      <c r="AI38" s="30"/>
      <c r="AJ38" s="30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1"/>
      <c r="BD38" s="31"/>
      <c r="BE38" s="31"/>
    </row>
    <row r="39" spans="1:57" outlineLevel="2" x14ac:dyDescent="0.25">
      <c r="A39" s="281" t="s">
        <v>80</v>
      </c>
      <c r="B39" s="257">
        <v>3000</v>
      </c>
      <c r="C39" s="151"/>
      <c r="D39" s="257">
        <f t="shared" si="17"/>
        <v>0</v>
      </c>
      <c r="E39" s="21"/>
      <c r="F39" s="157"/>
      <c r="G39" s="158"/>
      <c r="H39" s="158"/>
      <c r="I39" s="158"/>
      <c r="J39" s="158"/>
      <c r="K39" s="158"/>
      <c r="L39" s="268"/>
      <c r="M39" s="157"/>
      <c r="N39" s="158"/>
      <c r="O39" s="158"/>
      <c r="P39" s="158"/>
      <c r="Q39" s="158"/>
      <c r="R39" s="158"/>
      <c r="S39" s="268"/>
      <c r="T39" s="157"/>
      <c r="U39" s="158"/>
      <c r="V39" s="158"/>
      <c r="W39" s="158"/>
      <c r="X39" s="158"/>
      <c r="Y39" s="158"/>
      <c r="Z39" s="268"/>
      <c r="AA39" s="157"/>
      <c r="AB39" s="158"/>
      <c r="AC39" s="158"/>
      <c r="AD39" s="158"/>
      <c r="AE39" s="158"/>
      <c r="AF39" s="158"/>
      <c r="AG39" s="268"/>
      <c r="AH39" s="29"/>
      <c r="AI39" s="30"/>
      <c r="AJ39" s="30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  <c r="BA39" s="31"/>
      <c r="BB39" s="31"/>
      <c r="BC39" s="31"/>
      <c r="BD39" s="31"/>
      <c r="BE39" s="31"/>
    </row>
    <row r="40" spans="1:57" ht="30" outlineLevel="2" x14ac:dyDescent="0.25">
      <c r="A40" s="281" t="s">
        <v>81</v>
      </c>
      <c r="B40" s="257">
        <v>25000</v>
      </c>
      <c r="C40" s="151"/>
      <c r="D40" s="257">
        <f t="shared" si="17"/>
        <v>0</v>
      </c>
      <c r="E40" s="21"/>
      <c r="F40" s="157"/>
      <c r="G40" s="158"/>
      <c r="H40" s="158"/>
      <c r="I40" s="158"/>
      <c r="J40" s="158"/>
      <c r="K40" s="158"/>
      <c r="L40" s="268"/>
      <c r="M40" s="157"/>
      <c r="N40" s="158"/>
      <c r="O40" s="158"/>
      <c r="P40" s="158"/>
      <c r="Q40" s="158"/>
      <c r="R40" s="158"/>
      <c r="S40" s="268"/>
      <c r="T40" s="157"/>
      <c r="U40" s="158"/>
      <c r="V40" s="158"/>
      <c r="W40" s="158"/>
      <c r="X40" s="158"/>
      <c r="Y40" s="158"/>
      <c r="Z40" s="268"/>
      <c r="AA40" s="157"/>
      <c r="AB40" s="158"/>
      <c r="AC40" s="158"/>
      <c r="AD40" s="158"/>
      <c r="AE40" s="158"/>
      <c r="AF40" s="158"/>
      <c r="AG40" s="268"/>
      <c r="AH40" s="29"/>
      <c r="AI40" s="30"/>
      <c r="AJ40" s="30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  <c r="BA40" s="31"/>
      <c r="BB40" s="31"/>
      <c r="BC40" s="31"/>
      <c r="BD40" s="31"/>
      <c r="BE40" s="31"/>
    </row>
    <row r="41" spans="1:57" ht="30" outlineLevel="2" x14ac:dyDescent="0.25">
      <c r="A41" s="281" t="s">
        <v>82</v>
      </c>
      <c r="B41" s="257">
        <v>45000</v>
      </c>
      <c r="C41" s="151"/>
      <c r="D41" s="257">
        <f t="shared" si="17"/>
        <v>0</v>
      </c>
      <c r="E41" s="21"/>
      <c r="F41" s="157"/>
      <c r="G41" s="158"/>
      <c r="H41" s="158"/>
      <c r="I41" s="158"/>
      <c r="J41" s="158"/>
      <c r="K41" s="158"/>
      <c r="L41" s="268"/>
      <c r="M41" s="157"/>
      <c r="N41" s="158"/>
      <c r="O41" s="158"/>
      <c r="P41" s="158"/>
      <c r="Q41" s="158"/>
      <c r="R41" s="158"/>
      <c r="S41" s="268"/>
      <c r="T41" s="157"/>
      <c r="U41" s="158"/>
      <c r="V41" s="158"/>
      <c r="W41" s="158"/>
      <c r="X41" s="158"/>
      <c r="Y41" s="158"/>
      <c r="Z41" s="268"/>
      <c r="AA41" s="157"/>
      <c r="AB41" s="158"/>
      <c r="AC41" s="158"/>
      <c r="AD41" s="158"/>
      <c r="AE41" s="158"/>
      <c r="AF41" s="158"/>
      <c r="AG41" s="268"/>
      <c r="AH41" s="29"/>
      <c r="AI41" s="30"/>
      <c r="AJ41" s="30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  <c r="AZ41" s="31"/>
      <c r="BA41" s="31"/>
      <c r="BB41" s="31"/>
      <c r="BC41" s="31"/>
      <c r="BD41" s="31"/>
      <c r="BE41" s="31"/>
    </row>
    <row r="42" spans="1:57" outlineLevel="2" x14ac:dyDescent="0.25">
      <c r="A42" s="281" t="s">
        <v>83</v>
      </c>
      <c r="B42" s="257">
        <v>6000</v>
      </c>
      <c r="C42" s="151"/>
      <c r="D42" s="257">
        <f t="shared" si="17"/>
        <v>0</v>
      </c>
      <c r="E42" s="21"/>
      <c r="F42" s="157"/>
      <c r="G42" s="158"/>
      <c r="H42" s="158"/>
      <c r="I42" s="158"/>
      <c r="J42" s="158"/>
      <c r="K42" s="158"/>
      <c r="L42" s="268"/>
      <c r="M42" s="157"/>
      <c r="N42" s="158"/>
      <c r="O42" s="158"/>
      <c r="P42" s="158"/>
      <c r="Q42" s="158"/>
      <c r="R42" s="158"/>
      <c r="S42" s="268"/>
      <c r="T42" s="157"/>
      <c r="U42" s="158"/>
      <c r="V42" s="158"/>
      <c r="W42" s="158"/>
      <c r="X42" s="158"/>
      <c r="Y42" s="158"/>
      <c r="Z42" s="268"/>
      <c r="AA42" s="157"/>
      <c r="AB42" s="158"/>
      <c r="AC42" s="158"/>
      <c r="AD42" s="158"/>
      <c r="AE42" s="158"/>
      <c r="AF42" s="158"/>
      <c r="AG42" s="268"/>
      <c r="AH42" s="29"/>
      <c r="AI42" s="30"/>
      <c r="AJ42" s="30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s="31"/>
      <c r="BD42" s="31"/>
      <c r="BE42" s="31"/>
    </row>
    <row r="43" spans="1:57" ht="20.25" customHeight="1" outlineLevel="2" x14ac:dyDescent="0.25">
      <c r="A43" s="281" t="s">
        <v>84</v>
      </c>
      <c r="B43" s="257">
        <v>7000</v>
      </c>
      <c r="C43" s="151"/>
      <c r="D43" s="257">
        <f t="shared" si="17"/>
        <v>0</v>
      </c>
      <c r="E43" s="21"/>
      <c r="F43" s="157"/>
      <c r="G43" s="158"/>
      <c r="H43" s="158"/>
      <c r="I43" s="158"/>
      <c r="J43" s="158"/>
      <c r="K43" s="158"/>
      <c r="L43" s="268"/>
      <c r="M43" s="157"/>
      <c r="N43" s="158"/>
      <c r="O43" s="158"/>
      <c r="P43" s="158"/>
      <c r="Q43" s="158"/>
      <c r="R43" s="158"/>
      <c r="S43" s="268"/>
      <c r="T43" s="157"/>
      <c r="U43" s="158"/>
      <c r="V43" s="158"/>
      <c r="W43" s="158"/>
      <c r="X43" s="158"/>
      <c r="Y43" s="158"/>
      <c r="Z43" s="268"/>
      <c r="AA43" s="157"/>
      <c r="AB43" s="158"/>
      <c r="AC43" s="158"/>
      <c r="AD43" s="158"/>
      <c r="AE43" s="158"/>
      <c r="AF43" s="158"/>
      <c r="AG43" s="268"/>
      <c r="AH43" s="29"/>
      <c r="AI43" s="30"/>
      <c r="AJ43" s="30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  <c r="AZ43" s="31"/>
      <c r="BA43" s="31"/>
      <c r="BB43" s="31"/>
      <c r="BC43" s="31"/>
      <c r="BD43" s="31"/>
      <c r="BE43" s="31"/>
    </row>
    <row r="44" spans="1:57" ht="30" outlineLevel="2" x14ac:dyDescent="0.25">
      <c r="A44" s="281" t="s">
        <v>85</v>
      </c>
      <c r="B44" s="257">
        <v>15000</v>
      </c>
      <c r="C44" s="151"/>
      <c r="D44" s="257">
        <f t="shared" si="17"/>
        <v>0</v>
      </c>
      <c r="E44" s="21"/>
      <c r="F44" s="157"/>
      <c r="G44" s="158"/>
      <c r="H44" s="158"/>
      <c r="I44" s="158"/>
      <c r="J44" s="158"/>
      <c r="K44" s="158"/>
      <c r="L44" s="268"/>
      <c r="M44" s="157"/>
      <c r="N44" s="158"/>
      <c r="O44" s="158"/>
      <c r="P44" s="158"/>
      <c r="Q44" s="158"/>
      <c r="R44" s="158"/>
      <c r="S44" s="268"/>
      <c r="T44" s="157"/>
      <c r="U44" s="158"/>
      <c r="V44" s="158"/>
      <c r="W44" s="158"/>
      <c r="X44" s="158"/>
      <c r="Y44" s="158"/>
      <c r="Z44" s="268"/>
      <c r="AA44" s="157"/>
      <c r="AB44" s="158"/>
      <c r="AC44" s="158"/>
      <c r="AD44" s="158"/>
      <c r="AE44" s="158"/>
      <c r="AF44" s="158"/>
      <c r="AG44" s="268"/>
      <c r="AH44" s="29"/>
      <c r="AI44" s="30"/>
      <c r="AJ44" s="30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1"/>
      <c r="BD44" s="31"/>
      <c r="BE44" s="31"/>
    </row>
    <row r="45" spans="1:57" ht="18" customHeight="1" outlineLevel="2" x14ac:dyDescent="0.25">
      <c r="A45" s="281" t="s">
        <v>87</v>
      </c>
      <c r="B45" s="257">
        <v>30000</v>
      </c>
      <c r="C45" s="151"/>
      <c r="D45" s="257">
        <f t="shared" si="17"/>
        <v>0</v>
      </c>
      <c r="E45" s="21"/>
      <c r="F45" s="157"/>
      <c r="G45" s="158"/>
      <c r="H45" s="158"/>
      <c r="I45" s="158"/>
      <c r="J45" s="158"/>
      <c r="K45" s="158"/>
      <c r="L45" s="268"/>
      <c r="M45" s="157"/>
      <c r="N45" s="158"/>
      <c r="O45" s="158"/>
      <c r="P45" s="158"/>
      <c r="Q45" s="158"/>
      <c r="R45" s="158"/>
      <c r="S45" s="268"/>
      <c r="T45" s="157"/>
      <c r="U45" s="158"/>
      <c r="V45" s="158"/>
      <c r="W45" s="158"/>
      <c r="X45" s="158"/>
      <c r="Y45" s="158"/>
      <c r="Z45" s="268"/>
      <c r="AA45" s="157"/>
      <c r="AB45" s="158"/>
      <c r="AC45" s="158"/>
      <c r="AD45" s="158"/>
      <c r="AE45" s="158"/>
      <c r="AF45" s="158"/>
      <c r="AG45" s="268"/>
      <c r="AH45" s="29"/>
      <c r="AI45" s="30"/>
      <c r="AJ45" s="30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  <c r="AZ45" s="31"/>
      <c r="BA45" s="31"/>
      <c r="BB45" s="31"/>
      <c r="BC45" s="31"/>
      <c r="BD45" s="31"/>
      <c r="BE45" s="31"/>
    </row>
    <row r="46" spans="1:57" ht="30" outlineLevel="2" x14ac:dyDescent="0.25">
      <c r="A46" s="281" t="s">
        <v>86</v>
      </c>
      <c r="B46" s="257">
        <v>55000</v>
      </c>
      <c r="C46" s="151"/>
      <c r="D46" s="257">
        <f t="shared" si="17"/>
        <v>0</v>
      </c>
      <c r="E46" s="21"/>
      <c r="F46" s="157"/>
      <c r="G46" s="158"/>
      <c r="H46" s="158"/>
      <c r="I46" s="158"/>
      <c r="J46" s="158"/>
      <c r="K46" s="158"/>
      <c r="L46" s="268"/>
      <c r="M46" s="157"/>
      <c r="N46" s="158"/>
      <c r="O46" s="158"/>
      <c r="P46" s="158"/>
      <c r="Q46" s="158"/>
      <c r="R46" s="158"/>
      <c r="S46" s="268"/>
      <c r="T46" s="157"/>
      <c r="U46" s="158"/>
      <c r="V46" s="158"/>
      <c r="W46" s="158"/>
      <c r="X46" s="158"/>
      <c r="Y46" s="158"/>
      <c r="Z46" s="268"/>
      <c r="AA46" s="157"/>
      <c r="AB46" s="158"/>
      <c r="AC46" s="158"/>
      <c r="AD46" s="158"/>
      <c r="AE46" s="158"/>
      <c r="AF46" s="158"/>
      <c r="AG46" s="268"/>
      <c r="AH46" s="29"/>
      <c r="AI46" s="30"/>
      <c r="AJ46" s="30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  <c r="AZ46" s="31"/>
      <c r="BA46" s="31"/>
      <c r="BB46" s="31"/>
      <c r="BC46" s="31"/>
      <c r="BD46" s="31"/>
      <c r="BE46" s="31"/>
    </row>
    <row r="47" spans="1:57" ht="49.5" customHeight="1" outlineLevel="2" x14ac:dyDescent="0.25">
      <c r="A47" s="281" t="s">
        <v>88</v>
      </c>
      <c r="B47" s="257">
        <v>130000</v>
      </c>
      <c r="C47" s="151"/>
      <c r="D47" s="257">
        <f t="shared" si="17"/>
        <v>0</v>
      </c>
      <c r="E47" s="21"/>
      <c r="F47" s="157"/>
      <c r="G47" s="158"/>
      <c r="H47" s="158"/>
      <c r="I47" s="158"/>
      <c r="J47" s="158"/>
      <c r="K47" s="158"/>
      <c r="L47" s="268"/>
      <c r="M47" s="157"/>
      <c r="N47" s="158"/>
      <c r="O47" s="158"/>
      <c r="P47" s="158"/>
      <c r="Q47" s="158"/>
      <c r="R47" s="158"/>
      <c r="S47" s="268"/>
      <c r="T47" s="157"/>
      <c r="U47" s="158"/>
      <c r="V47" s="158"/>
      <c r="W47" s="158"/>
      <c r="X47" s="158"/>
      <c r="Y47" s="158"/>
      <c r="Z47" s="268"/>
      <c r="AA47" s="157"/>
      <c r="AB47" s="158"/>
      <c r="AC47" s="158"/>
      <c r="AD47" s="158"/>
      <c r="AE47" s="158"/>
      <c r="AF47" s="158"/>
      <c r="AG47" s="268"/>
      <c r="AH47" s="29"/>
      <c r="AI47" s="30"/>
      <c r="AJ47" s="30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  <c r="AZ47" s="31"/>
      <c r="BA47" s="31"/>
      <c r="BB47" s="31"/>
      <c r="BC47" s="31"/>
      <c r="BD47" s="31"/>
      <c r="BE47" s="31"/>
    </row>
    <row r="48" spans="1:57" outlineLevel="1" x14ac:dyDescent="0.25">
      <c r="A48" s="274" t="s">
        <v>62</v>
      </c>
      <c r="B48" s="257">
        <v>60000</v>
      </c>
      <c r="C48" s="151"/>
      <c r="D48" s="258">
        <f t="shared" ref="D48:D57" si="22">B48*C48</f>
        <v>0</v>
      </c>
      <c r="E48" s="21"/>
      <c r="F48" s="157"/>
      <c r="G48" s="158"/>
      <c r="H48" s="158"/>
      <c r="I48" s="158"/>
      <c r="J48" s="158"/>
      <c r="K48" s="158"/>
      <c r="L48" s="268"/>
      <c r="M48" s="157"/>
      <c r="N48" s="158"/>
      <c r="O48" s="158"/>
      <c r="P48" s="158"/>
      <c r="Q48" s="158"/>
      <c r="R48" s="158"/>
      <c r="S48" s="268"/>
      <c r="T48" s="157"/>
      <c r="U48" s="158"/>
      <c r="V48" s="158"/>
      <c r="W48" s="158"/>
      <c r="X48" s="158"/>
      <c r="Y48" s="158"/>
      <c r="Z48" s="268"/>
      <c r="AA48" s="157"/>
      <c r="AB48" s="158"/>
      <c r="AC48" s="158"/>
      <c r="AD48" s="158"/>
      <c r="AE48" s="158"/>
      <c r="AF48" s="158"/>
      <c r="AG48" s="268"/>
      <c r="AH48" s="29"/>
      <c r="AI48" s="30"/>
      <c r="AJ48" s="30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  <c r="BC48" s="31"/>
      <c r="BD48" s="31"/>
      <c r="BE48" s="31"/>
    </row>
    <row r="49" spans="1:57" s="55" customFormat="1" outlineLevel="1" x14ac:dyDescent="0.25">
      <c r="A49" s="274" t="s">
        <v>104</v>
      </c>
      <c r="B49" s="257">
        <v>160000</v>
      </c>
      <c r="C49" s="151"/>
      <c r="D49" s="258">
        <f t="shared" si="22"/>
        <v>0</v>
      </c>
      <c r="E49" s="50"/>
      <c r="F49" s="157"/>
      <c r="G49" s="158"/>
      <c r="H49" s="158"/>
      <c r="I49" s="158"/>
      <c r="J49" s="158"/>
      <c r="K49" s="158"/>
      <c r="L49" s="268"/>
      <c r="M49" s="157"/>
      <c r="N49" s="158"/>
      <c r="O49" s="158"/>
      <c r="P49" s="158"/>
      <c r="Q49" s="158"/>
      <c r="R49" s="158"/>
      <c r="S49" s="268"/>
      <c r="T49" s="157"/>
      <c r="U49" s="158"/>
      <c r="V49" s="158"/>
      <c r="W49" s="158"/>
      <c r="X49" s="158"/>
      <c r="Y49" s="158"/>
      <c r="Z49" s="268"/>
      <c r="AA49" s="157"/>
      <c r="AB49" s="158"/>
      <c r="AC49" s="158"/>
      <c r="AD49" s="158"/>
      <c r="AE49" s="158"/>
      <c r="AF49" s="158"/>
      <c r="AG49" s="268"/>
      <c r="AH49" s="52"/>
      <c r="AI49" s="53"/>
      <c r="AJ49" s="53"/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</row>
    <row r="50" spans="1:57" s="55" customFormat="1" outlineLevel="1" x14ac:dyDescent="0.25">
      <c r="A50" s="275" t="s">
        <v>105</v>
      </c>
      <c r="B50" s="258">
        <v>280000</v>
      </c>
      <c r="C50" s="151"/>
      <c r="D50" s="258">
        <f t="shared" si="22"/>
        <v>0</v>
      </c>
      <c r="E50" s="51"/>
      <c r="F50" s="157"/>
      <c r="G50" s="158"/>
      <c r="H50" s="158"/>
      <c r="I50" s="158"/>
      <c r="J50" s="158"/>
      <c r="K50" s="158"/>
      <c r="L50" s="268"/>
      <c r="M50" s="157"/>
      <c r="N50" s="158"/>
      <c r="O50" s="158"/>
      <c r="P50" s="158"/>
      <c r="Q50" s="158"/>
      <c r="R50" s="158"/>
      <c r="S50" s="268"/>
      <c r="T50" s="157"/>
      <c r="U50" s="158"/>
      <c r="V50" s="158"/>
      <c r="W50" s="158"/>
      <c r="X50" s="158"/>
      <c r="Y50" s="158"/>
      <c r="Z50" s="268"/>
      <c r="AA50" s="157"/>
      <c r="AB50" s="158"/>
      <c r="AC50" s="158"/>
      <c r="AD50" s="158"/>
      <c r="AE50" s="158"/>
      <c r="AF50" s="158"/>
      <c r="AG50" s="268"/>
      <c r="AH50" s="52"/>
      <c r="AI50" s="53"/>
      <c r="AJ50" s="53"/>
      <c r="AK50" s="54"/>
      <c r="AL50" s="54"/>
      <c r="AM50" s="54"/>
      <c r="AN50" s="54"/>
      <c r="AO50" s="54"/>
      <c r="AP50" s="54"/>
      <c r="AQ50" s="54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</row>
    <row r="51" spans="1:57" outlineLevel="1" x14ac:dyDescent="0.25">
      <c r="A51" s="282" t="s">
        <v>63</v>
      </c>
      <c r="B51" s="258">
        <v>30000</v>
      </c>
      <c r="C51" s="151"/>
      <c r="D51" s="258">
        <f t="shared" si="22"/>
        <v>0</v>
      </c>
      <c r="E51" s="11"/>
      <c r="F51" s="157"/>
      <c r="G51" s="158"/>
      <c r="H51" s="158"/>
      <c r="I51" s="158"/>
      <c r="J51" s="158"/>
      <c r="K51" s="158"/>
      <c r="L51" s="268"/>
      <c r="M51" s="157"/>
      <c r="N51" s="158"/>
      <c r="O51" s="158"/>
      <c r="P51" s="158"/>
      <c r="Q51" s="158"/>
      <c r="R51" s="158"/>
      <c r="S51" s="268"/>
      <c r="T51" s="157"/>
      <c r="U51" s="158"/>
      <c r="V51" s="158"/>
      <c r="W51" s="158"/>
      <c r="X51" s="158"/>
      <c r="Y51" s="158"/>
      <c r="Z51" s="268"/>
      <c r="AA51" s="157"/>
      <c r="AB51" s="158"/>
      <c r="AC51" s="158"/>
      <c r="AD51" s="158"/>
      <c r="AE51" s="158"/>
      <c r="AF51" s="158"/>
      <c r="AG51" s="268"/>
      <c r="AH51" s="29"/>
      <c r="AI51" s="30"/>
      <c r="AJ51" s="30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  <c r="AZ51" s="31"/>
      <c r="BA51" s="31"/>
      <c r="BB51" s="31"/>
      <c r="BC51" s="31"/>
      <c r="BD51" s="31"/>
      <c r="BE51" s="31"/>
    </row>
    <row r="52" spans="1:57" ht="30" outlineLevel="1" x14ac:dyDescent="0.25">
      <c r="A52" s="282" t="s">
        <v>64</v>
      </c>
      <c r="B52" s="258">
        <v>55000</v>
      </c>
      <c r="C52" s="151"/>
      <c r="D52" s="258">
        <f t="shared" si="22"/>
        <v>0</v>
      </c>
      <c r="E52" s="11"/>
      <c r="F52" s="157"/>
      <c r="G52" s="158"/>
      <c r="H52" s="158"/>
      <c r="I52" s="158"/>
      <c r="J52" s="158"/>
      <c r="K52" s="158"/>
      <c r="L52" s="268"/>
      <c r="M52" s="157"/>
      <c r="N52" s="158"/>
      <c r="O52" s="158"/>
      <c r="P52" s="158"/>
      <c r="Q52" s="158"/>
      <c r="R52" s="158"/>
      <c r="S52" s="268"/>
      <c r="T52" s="157"/>
      <c r="U52" s="158"/>
      <c r="V52" s="158"/>
      <c r="W52" s="158"/>
      <c r="X52" s="158"/>
      <c r="Y52" s="158"/>
      <c r="Z52" s="268"/>
      <c r="AA52" s="157"/>
      <c r="AB52" s="158"/>
      <c r="AC52" s="158"/>
      <c r="AD52" s="158"/>
      <c r="AE52" s="158"/>
      <c r="AF52" s="158"/>
      <c r="AG52" s="268"/>
      <c r="AH52" s="29"/>
      <c r="AI52" s="30"/>
      <c r="AJ52" s="30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1"/>
      <c r="BD52" s="31"/>
      <c r="BE52" s="31"/>
    </row>
    <row r="53" spans="1:57" ht="30" outlineLevel="1" x14ac:dyDescent="0.25">
      <c r="A53" s="282" t="s">
        <v>65</v>
      </c>
      <c r="B53" s="258">
        <v>130000</v>
      </c>
      <c r="C53" s="151"/>
      <c r="D53" s="258">
        <f t="shared" si="22"/>
        <v>0</v>
      </c>
      <c r="E53" s="11"/>
      <c r="F53" s="157"/>
      <c r="G53" s="158"/>
      <c r="H53" s="158"/>
      <c r="I53" s="158"/>
      <c r="J53" s="158"/>
      <c r="K53" s="158"/>
      <c r="L53" s="268"/>
      <c r="M53" s="157"/>
      <c r="N53" s="158"/>
      <c r="O53" s="158"/>
      <c r="P53" s="158"/>
      <c r="Q53" s="158"/>
      <c r="R53" s="158"/>
      <c r="S53" s="268"/>
      <c r="T53" s="157"/>
      <c r="U53" s="158"/>
      <c r="V53" s="158"/>
      <c r="W53" s="158"/>
      <c r="X53" s="158"/>
      <c r="Y53" s="158"/>
      <c r="Z53" s="268"/>
      <c r="AA53" s="157"/>
      <c r="AB53" s="158"/>
      <c r="AC53" s="158"/>
      <c r="AD53" s="158"/>
      <c r="AE53" s="158"/>
      <c r="AF53" s="158"/>
      <c r="AG53" s="268"/>
      <c r="AH53" s="29"/>
      <c r="AI53" s="30"/>
      <c r="AJ53" s="30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  <c r="AZ53" s="31"/>
      <c r="BA53" s="31"/>
      <c r="BB53" s="31"/>
      <c r="BC53" s="31"/>
      <c r="BD53" s="31"/>
      <c r="BE53" s="31"/>
    </row>
    <row r="54" spans="1:57" ht="30" outlineLevel="1" x14ac:dyDescent="0.25">
      <c r="A54" s="282" t="s">
        <v>66</v>
      </c>
      <c r="B54" s="258">
        <v>23000</v>
      </c>
      <c r="C54" s="151"/>
      <c r="D54" s="258">
        <f t="shared" si="22"/>
        <v>0</v>
      </c>
      <c r="E54" s="11"/>
      <c r="F54" s="157"/>
      <c r="G54" s="158"/>
      <c r="H54" s="158"/>
      <c r="I54" s="158"/>
      <c r="J54" s="158"/>
      <c r="K54" s="158"/>
      <c r="L54" s="268"/>
      <c r="M54" s="157"/>
      <c r="N54" s="158"/>
      <c r="O54" s="158"/>
      <c r="P54" s="158"/>
      <c r="Q54" s="158"/>
      <c r="R54" s="158"/>
      <c r="S54" s="268"/>
      <c r="T54" s="157"/>
      <c r="U54" s="158"/>
      <c r="V54" s="158"/>
      <c r="W54" s="158"/>
      <c r="X54" s="158"/>
      <c r="Y54" s="158"/>
      <c r="Z54" s="268"/>
      <c r="AA54" s="157"/>
      <c r="AB54" s="158"/>
      <c r="AC54" s="158"/>
      <c r="AD54" s="158"/>
      <c r="AE54" s="158"/>
      <c r="AF54" s="158"/>
      <c r="AG54" s="268"/>
      <c r="AH54" s="29"/>
      <c r="AI54" s="30"/>
      <c r="AJ54" s="30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  <c r="AZ54" s="31"/>
      <c r="BA54" s="31"/>
      <c r="BB54" s="31"/>
      <c r="BC54" s="31"/>
      <c r="BD54" s="31"/>
      <c r="BE54" s="31"/>
    </row>
    <row r="55" spans="1:57" outlineLevel="1" x14ac:dyDescent="0.25">
      <c r="A55" s="282" t="s">
        <v>67</v>
      </c>
      <c r="B55" s="258">
        <v>35000</v>
      </c>
      <c r="C55" s="151"/>
      <c r="D55" s="258">
        <f t="shared" si="22"/>
        <v>0</v>
      </c>
      <c r="E55" s="11"/>
      <c r="F55" s="157"/>
      <c r="G55" s="158"/>
      <c r="H55" s="158"/>
      <c r="I55" s="158"/>
      <c r="J55" s="158"/>
      <c r="K55" s="158"/>
      <c r="L55" s="268"/>
      <c r="M55" s="157"/>
      <c r="N55" s="158"/>
      <c r="O55" s="158"/>
      <c r="P55" s="158"/>
      <c r="Q55" s="158"/>
      <c r="R55" s="158"/>
      <c r="S55" s="268"/>
      <c r="T55" s="157"/>
      <c r="U55" s="158"/>
      <c r="V55" s="158"/>
      <c r="W55" s="158"/>
      <c r="X55" s="158"/>
      <c r="Y55" s="158"/>
      <c r="Z55" s="268"/>
      <c r="AA55" s="157"/>
      <c r="AB55" s="158"/>
      <c r="AC55" s="158"/>
      <c r="AD55" s="158"/>
      <c r="AE55" s="158"/>
      <c r="AF55" s="158"/>
      <c r="AG55" s="268"/>
      <c r="AH55" s="29"/>
      <c r="AI55" s="30"/>
      <c r="AJ55" s="30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  <c r="AZ55" s="31"/>
      <c r="BA55" s="31"/>
      <c r="BB55" s="31"/>
      <c r="BC55" s="31"/>
      <c r="BD55" s="31"/>
      <c r="BE55" s="31"/>
    </row>
    <row r="56" spans="1:57" outlineLevel="1" x14ac:dyDescent="0.25">
      <c r="A56" s="282" t="s">
        <v>68</v>
      </c>
      <c r="B56" s="258">
        <v>45000</v>
      </c>
      <c r="C56" s="151"/>
      <c r="D56" s="258">
        <f t="shared" si="22"/>
        <v>0</v>
      </c>
      <c r="E56" s="11"/>
      <c r="F56" s="157"/>
      <c r="G56" s="158"/>
      <c r="H56" s="158"/>
      <c r="I56" s="158"/>
      <c r="J56" s="158"/>
      <c r="K56" s="158"/>
      <c r="L56" s="268"/>
      <c r="M56" s="157"/>
      <c r="N56" s="158"/>
      <c r="O56" s="158"/>
      <c r="P56" s="158"/>
      <c r="Q56" s="158"/>
      <c r="R56" s="158"/>
      <c r="S56" s="268"/>
      <c r="T56" s="157"/>
      <c r="U56" s="158"/>
      <c r="V56" s="158"/>
      <c r="W56" s="158"/>
      <c r="X56" s="158"/>
      <c r="Y56" s="158"/>
      <c r="Z56" s="268"/>
      <c r="AA56" s="157"/>
      <c r="AB56" s="158"/>
      <c r="AC56" s="158"/>
      <c r="AD56" s="158"/>
      <c r="AE56" s="158"/>
      <c r="AF56" s="158"/>
      <c r="AG56" s="268"/>
      <c r="AH56" s="29"/>
      <c r="AI56" s="30"/>
      <c r="AJ56" s="30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  <c r="AZ56" s="31"/>
      <c r="BA56" s="31"/>
      <c r="BB56" s="31"/>
      <c r="BC56" s="31"/>
      <c r="BD56" s="31"/>
      <c r="BE56" s="31"/>
    </row>
    <row r="57" spans="1:57" outlineLevel="1" x14ac:dyDescent="0.25">
      <c r="A57" s="282" t="s">
        <v>69</v>
      </c>
      <c r="B57" s="258">
        <v>70000</v>
      </c>
      <c r="C57" s="151"/>
      <c r="D57" s="258">
        <f t="shared" si="22"/>
        <v>0</v>
      </c>
      <c r="E57" s="11"/>
      <c r="F57" s="157"/>
      <c r="G57" s="158"/>
      <c r="H57" s="158"/>
      <c r="I57" s="158"/>
      <c r="J57" s="158"/>
      <c r="K57" s="158"/>
      <c r="L57" s="268"/>
      <c r="M57" s="157"/>
      <c r="N57" s="158"/>
      <c r="O57" s="158"/>
      <c r="P57" s="158"/>
      <c r="Q57" s="158"/>
      <c r="R57" s="158"/>
      <c r="S57" s="268"/>
      <c r="T57" s="157"/>
      <c r="U57" s="158"/>
      <c r="V57" s="158"/>
      <c r="W57" s="158"/>
      <c r="X57" s="158"/>
      <c r="Y57" s="158"/>
      <c r="Z57" s="268"/>
      <c r="AA57" s="157"/>
      <c r="AB57" s="158"/>
      <c r="AC57" s="158"/>
      <c r="AD57" s="158"/>
      <c r="AE57" s="158"/>
      <c r="AF57" s="158"/>
      <c r="AG57" s="268"/>
      <c r="AH57" s="29"/>
      <c r="AI57" s="30"/>
      <c r="AJ57" s="30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  <c r="AZ57" s="31"/>
      <c r="BA57" s="31"/>
      <c r="BB57" s="31"/>
      <c r="BC57" s="31"/>
      <c r="BD57" s="31"/>
      <c r="BE57" s="31"/>
    </row>
    <row r="58" spans="1:57" outlineLevel="1" x14ac:dyDescent="0.25">
      <c r="A58" s="282"/>
      <c r="B58" s="258"/>
      <c r="C58" s="14"/>
      <c r="D58" s="258">
        <v>0</v>
      </c>
      <c r="E58" s="11"/>
      <c r="F58" s="38"/>
      <c r="G58" s="39"/>
      <c r="H58" s="39"/>
      <c r="I58" s="39"/>
      <c r="J58" s="39"/>
      <c r="K58" s="39"/>
      <c r="L58" s="266"/>
      <c r="M58" s="38"/>
      <c r="N58" s="40"/>
      <c r="O58" s="40"/>
      <c r="P58" s="40"/>
      <c r="Q58" s="40"/>
      <c r="R58" s="39"/>
      <c r="S58" s="266"/>
      <c r="T58" s="38"/>
      <c r="U58" s="39"/>
      <c r="V58" s="39"/>
      <c r="W58" s="39"/>
      <c r="X58" s="39"/>
      <c r="Y58" s="39"/>
      <c r="Z58" s="266"/>
      <c r="AA58" s="38"/>
      <c r="AB58" s="40"/>
      <c r="AC58" s="40"/>
      <c r="AD58" s="39"/>
      <c r="AE58" s="39"/>
      <c r="AF58" s="39"/>
      <c r="AG58" s="266"/>
      <c r="AH58" s="29"/>
      <c r="AI58" s="30"/>
      <c r="AJ58" s="30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  <c r="AZ58" s="31"/>
      <c r="BA58" s="31"/>
      <c r="BB58" s="31"/>
      <c r="BC58" s="31"/>
      <c r="BD58" s="31"/>
      <c r="BE58" s="31"/>
    </row>
    <row r="59" spans="1:57" s="218" customFormat="1" ht="15.75" outlineLevel="1" x14ac:dyDescent="0.25">
      <c r="A59" s="227" t="s">
        <v>13</v>
      </c>
      <c r="B59" s="228"/>
      <c r="C59" s="229"/>
      <c r="D59" s="223">
        <f>SUM(D60:D70)</f>
        <v>0</v>
      </c>
      <c r="E59" s="213"/>
      <c r="F59" s="188" t="str">
        <f>IF(CONCATENATE(F60,F61,F62,F63,F64,F65,F67,F69)&gt;" ","х"," ")</f>
        <v xml:space="preserve"> </v>
      </c>
      <c r="G59" s="214" t="str">
        <f>IF(CONCATENATE(G60,G61,G62,G63,G64,G65,G67,G69)&gt;" ","х"," ")</f>
        <v xml:space="preserve"> </v>
      </c>
      <c r="H59" s="214" t="str">
        <f t="shared" ref="H59:L59" si="23">IF(CONCATENATE(H60,H61,H62,H63,H64,H65,H67,H69)&gt;" ","х"," ")</f>
        <v xml:space="preserve"> </v>
      </c>
      <c r="I59" s="214" t="str">
        <f t="shared" si="23"/>
        <v xml:space="preserve"> </v>
      </c>
      <c r="J59" s="214" t="str">
        <f t="shared" si="23"/>
        <v xml:space="preserve"> </v>
      </c>
      <c r="K59" s="214" t="str">
        <f t="shared" si="23"/>
        <v xml:space="preserve"> </v>
      </c>
      <c r="L59" s="266" t="str">
        <f t="shared" si="23"/>
        <v xml:space="preserve"> </v>
      </c>
      <c r="M59" s="188" t="str">
        <f>IF(CONCATENATE(M60,M61,M62,M63,M64,M65,M67,M69)&gt;" ","х"," ")</f>
        <v xml:space="preserve"> </v>
      </c>
      <c r="N59" s="214" t="str">
        <f>IF(CONCATENATE(N60,N61,N62,N63,N64,N65,N67,N69)&gt;" ","х"," ")</f>
        <v xml:space="preserve"> </v>
      </c>
      <c r="O59" s="214" t="str">
        <f t="shared" ref="O59:S59" si="24">IF(CONCATENATE(O60,O61,O62,O63,O64,O65,O67,O69)&gt;" ","х"," ")</f>
        <v xml:space="preserve"> </v>
      </c>
      <c r="P59" s="214" t="str">
        <f t="shared" si="24"/>
        <v xml:space="preserve"> </v>
      </c>
      <c r="Q59" s="214" t="str">
        <f t="shared" si="24"/>
        <v xml:space="preserve"> </v>
      </c>
      <c r="R59" s="214" t="str">
        <f t="shared" si="24"/>
        <v xml:space="preserve"> </v>
      </c>
      <c r="S59" s="266" t="str">
        <f t="shared" si="24"/>
        <v xml:space="preserve"> </v>
      </c>
      <c r="T59" s="188" t="str">
        <f>IF(CONCATENATE(T60,T61,T62,T63,T64,T65,T67,T69)&gt;" ","х"," ")</f>
        <v xml:space="preserve"> </v>
      </c>
      <c r="U59" s="214" t="str">
        <f>IF(CONCATENATE(U60,U61,U62,U63,U64,U65,U67,U69)&gt;" ","х"," ")</f>
        <v xml:space="preserve"> </v>
      </c>
      <c r="V59" s="214" t="str">
        <f t="shared" ref="V59:Z59" si="25">IF(CONCATENATE(V60,V61,V62,V63,V64,V65,V67,V69)&gt;" ","х"," ")</f>
        <v xml:space="preserve"> </v>
      </c>
      <c r="W59" s="214" t="str">
        <f t="shared" si="25"/>
        <v xml:space="preserve"> </v>
      </c>
      <c r="X59" s="214" t="str">
        <f t="shared" si="25"/>
        <v xml:space="preserve"> </v>
      </c>
      <c r="Y59" s="214" t="str">
        <f t="shared" si="25"/>
        <v xml:space="preserve"> </v>
      </c>
      <c r="Z59" s="266" t="str">
        <f t="shared" si="25"/>
        <v xml:space="preserve"> </v>
      </c>
      <c r="AA59" s="188" t="str">
        <f>IF(CONCATENATE(AA60,AA61,AA62,AA63,AA64,AA65,AA67,AA69)&gt;" ","х"," ")</f>
        <v xml:space="preserve"> </v>
      </c>
      <c r="AB59" s="214" t="str">
        <f>IF(CONCATENATE(AB60,AB61,AB62,AB63,AB64,AB65,AB67,AB69)&gt;" ","х"," ")</f>
        <v xml:space="preserve"> </v>
      </c>
      <c r="AC59" s="214" t="str">
        <f t="shared" ref="AC59:AG59" si="26">IF(CONCATENATE(AC60,AC61,AC62,AC63,AC64,AC65,AC67,AC69)&gt;" ","х"," ")</f>
        <v xml:space="preserve"> </v>
      </c>
      <c r="AD59" s="214" t="str">
        <f t="shared" si="26"/>
        <v xml:space="preserve"> </v>
      </c>
      <c r="AE59" s="214" t="str">
        <f t="shared" si="26"/>
        <v xml:space="preserve"> </v>
      </c>
      <c r="AF59" s="214" t="str">
        <f t="shared" si="26"/>
        <v xml:space="preserve"> </v>
      </c>
      <c r="AG59" s="266" t="str">
        <f t="shared" si="26"/>
        <v xml:space="preserve"> </v>
      </c>
      <c r="AH59" s="215"/>
      <c r="AI59" s="216"/>
      <c r="AJ59" s="216"/>
      <c r="AK59" s="217"/>
      <c r="AL59" s="217"/>
      <c r="AM59" s="217"/>
      <c r="AN59" s="217"/>
      <c r="AO59" s="217"/>
      <c r="AP59" s="217"/>
      <c r="AQ59" s="217"/>
      <c r="AR59" s="217"/>
      <c r="AS59" s="217"/>
      <c r="AT59" s="217"/>
      <c r="AU59" s="217"/>
      <c r="AV59" s="217"/>
      <c r="AW59" s="217"/>
      <c r="AX59" s="217"/>
      <c r="AY59" s="217"/>
      <c r="AZ59" s="217"/>
      <c r="BA59" s="217"/>
      <c r="BB59" s="217"/>
      <c r="BC59" s="217"/>
      <c r="BD59" s="217"/>
      <c r="BE59" s="217"/>
    </row>
    <row r="60" spans="1:57" outlineLevel="2" x14ac:dyDescent="0.25">
      <c r="A60" s="275" t="s">
        <v>40</v>
      </c>
      <c r="B60" s="258">
        <v>42500</v>
      </c>
      <c r="C60" s="151"/>
      <c r="D60" s="258">
        <f>B60*C60</f>
        <v>0</v>
      </c>
      <c r="E60" s="11"/>
      <c r="F60" s="157"/>
      <c r="G60" s="158"/>
      <c r="H60" s="158"/>
      <c r="I60" s="158"/>
      <c r="J60" s="158"/>
      <c r="K60" s="158"/>
      <c r="L60" s="268"/>
      <c r="M60" s="157"/>
      <c r="N60" s="158"/>
      <c r="O60" s="158"/>
      <c r="P60" s="158"/>
      <c r="Q60" s="158"/>
      <c r="R60" s="158"/>
      <c r="S60" s="268"/>
      <c r="T60" s="157"/>
      <c r="U60" s="158"/>
      <c r="V60" s="158"/>
      <c r="W60" s="158"/>
      <c r="X60" s="158"/>
      <c r="Y60" s="158"/>
      <c r="Z60" s="268"/>
      <c r="AA60" s="157"/>
      <c r="AB60" s="158"/>
      <c r="AC60" s="158"/>
      <c r="AD60" s="158"/>
      <c r="AE60" s="158"/>
      <c r="AF60" s="158"/>
      <c r="AG60" s="268"/>
      <c r="AH60" s="29"/>
      <c r="AI60" s="30"/>
      <c r="AJ60" s="30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</row>
    <row r="61" spans="1:57" outlineLevel="2" x14ac:dyDescent="0.25">
      <c r="A61" s="275" t="s">
        <v>41</v>
      </c>
      <c r="B61" s="258">
        <v>67500</v>
      </c>
      <c r="C61" s="151"/>
      <c r="D61" s="258">
        <f t="shared" ref="D61:D62" si="27">B61*C61</f>
        <v>0</v>
      </c>
      <c r="E61" s="11"/>
      <c r="F61" s="157"/>
      <c r="G61" s="158"/>
      <c r="H61" s="158"/>
      <c r="I61" s="158"/>
      <c r="J61" s="158"/>
      <c r="K61" s="158"/>
      <c r="L61" s="268"/>
      <c r="M61" s="157"/>
      <c r="N61" s="158"/>
      <c r="O61" s="158"/>
      <c r="P61" s="158"/>
      <c r="Q61" s="158"/>
      <c r="R61" s="158"/>
      <c r="S61" s="268"/>
      <c r="T61" s="157"/>
      <c r="U61" s="158"/>
      <c r="V61" s="158"/>
      <c r="W61" s="158"/>
      <c r="X61" s="158"/>
      <c r="Y61" s="158"/>
      <c r="Z61" s="268"/>
      <c r="AA61" s="157"/>
      <c r="AB61" s="158"/>
      <c r="AC61" s="158"/>
      <c r="AD61" s="158"/>
      <c r="AE61" s="158"/>
      <c r="AF61" s="158"/>
      <c r="AG61" s="268"/>
      <c r="AH61" s="29"/>
      <c r="AI61" s="30"/>
      <c r="AJ61" s="30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  <c r="AZ61" s="31"/>
      <c r="BA61" s="31"/>
      <c r="BB61" s="31"/>
      <c r="BC61" s="31"/>
      <c r="BD61" s="31"/>
      <c r="BE61" s="31"/>
    </row>
    <row r="62" spans="1:57" outlineLevel="2" x14ac:dyDescent="0.25">
      <c r="A62" s="275" t="s">
        <v>102</v>
      </c>
      <c r="B62" s="258">
        <v>115000</v>
      </c>
      <c r="C62" s="151"/>
      <c r="D62" s="258">
        <f t="shared" si="27"/>
        <v>0</v>
      </c>
      <c r="E62" s="11"/>
      <c r="F62" s="157"/>
      <c r="G62" s="158"/>
      <c r="H62" s="158"/>
      <c r="I62" s="158"/>
      <c r="J62" s="158"/>
      <c r="K62" s="158"/>
      <c r="L62" s="268"/>
      <c r="M62" s="157"/>
      <c r="N62" s="158"/>
      <c r="O62" s="158"/>
      <c r="P62" s="158"/>
      <c r="Q62" s="158"/>
      <c r="R62" s="158"/>
      <c r="S62" s="268"/>
      <c r="T62" s="157"/>
      <c r="U62" s="158"/>
      <c r="V62" s="158"/>
      <c r="W62" s="158"/>
      <c r="X62" s="158"/>
      <c r="Y62" s="158"/>
      <c r="Z62" s="268"/>
      <c r="AA62" s="157"/>
      <c r="AB62" s="158"/>
      <c r="AC62" s="158"/>
      <c r="AD62" s="158"/>
      <c r="AE62" s="158"/>
      <c r="AF62" s="158"/>
      <c r="AG62" s="268"/>
      <c r="AH62" s="29"/>
      <c r="AI62" s="30"/>
      <c r="AJ62" s="30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  <c r="AZ62" s="31"/>
      <c r="BA62" s="31"/>
      <c r="BB62" s="31"/>
      <c r="BC62" s="31"/>
      <c r="BD62" s="31"/>
      <c r="BE62" s="31"/>
    </row>
    <row r="63" spans="1:57" outlineLevel="2" x14ac:dyDescent="0.25">
      <c r="A63" s="282" t="s">
        <v>29</v>
      </c>
      <c r="B63" s="258">
        <v>33000</v>
      </c>
      <c r="C63" s="151"/>
      <c r="D63" s="258">
        <f>B63*C63</f>
        <v>0</v>
      </c>
      <c r="E63" s="11"/>
      <c r="F63" s="157"/>
      <c r="G63" s="158"/>
      <c r="H63" s="158"/>
      <c r="I63" s="158"/>
      <c r="J63" s="158"/>
      <c r="K63" s="158"/>
      <c r="L63" s="268"/>
      <c r="M63" s="157"/>
      <c r="N63" s="158"/>
      <c r="O63" s="158"/>
      <c r="P63" s="158"/>
      <c r="Q63" s="158"/>
      <c r="R63" s="158"/>
      <c r="S63" s="268"/>
      <c r="T63" s="157"/>
      <c r="U63" s="158"/>
      <c r="V63" s="158"/>
      <c r="W63" s="158"/>
      <c r="X63" s="158"/>
      <c r="Y63" s="158"/>
      <c r="Z63" s="268"/>
      <c r="AA63" s="157"/>
      <c r="AB63" s="158"/>
      <c r="AC63" s="158"/>
      <c r="AD63" s="158"/>
      <c r="AE63" s="158"/>
      <c r="AF63" s="158"/>
      <c r="AG63" s="268"/>
      <c r="AH63" s="29"/>
      <c r="AI63" s="30"/>
      <c r="AJ63" s="30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  <c r="AZ63" s="31"/>
      <c r="BA63" s="31"/>
      <c r="BB63" s="31"/>
      <c r="BC63" s="31"/>
      <c r="BD63" s="31"/>
      <c r="BE63" s="31"/>
    </row>
    <row r="64" spans="1:57" outlineLevel="2" x14ac:dyDescent="0.25">
      <c r="A64" s="282" t="s">
        <v>4</v>
      </c>
      <c r="B64" s="258">
        <v>80000</v>
      </c>
      <c r="C64" s="151"/>
      <c r="D64" s="258">
        <f t="shared" ref="D64" si="28">B64*C64</f>
        <v>0</v>
      </c>
      <c r="E64" s="11"/>
      <c r="F64" s="157"/>
      <c r="G64" s="158"/>
      <c r="H64" s="158"/>
      <c r="I64" s="158"/>
      <c r="J64" s="158"/>
      <c r="K64" s="158"/>
      <c r="L64" s="268"/>
      <c r="M64" s="157"/>
      <c r="N64" s="158"/>
      <c r="O64" s="158"/>
      <c r="P64" s="158"/>
      <c r="Q64" s="158"/>
      <c r="R64" s="158"/>
      <c r="S64" s="268"/>
      <c r="T64" s="157"/>
      <c r="U64" s="158"/>
      <c r="V64" s="158"/>
      <c r="W64" s="158"/>
      <c r="X64" s="158"/>
      <c r="Y64" s="158"/>
      <c r="Z64" s="268"/>
      <c r="AA64" s="157"/>
      <c r="AB64" s="158"/>
      <c r="AC64" s="158"/>
      <c r="AD64" s="158"/>
      <c r="AE64" s="158"/>
      <c r="AF64" s="158"/>
      <c r="AG64" s="268"/>
      <c r="AH64" s="29"/>
      <c r="AI64" s="30"/>
      <c r="AJ64" s="30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  <c r="AZ64" s="31"/>
      <c r="BA64" s="31"/>
      <c r="BB64" s="31"/>
      <c r="BC64" s="31"/>
      <c r="BD64" s="31"/>
      <c r="BE64" s="31"/>
    </row>
    <row r="65" spans="1:57" outlineLevel="2" x14ac:dyDescent="0.25">
      <c r="A65" s="275" t="s">
        <v>30</v>
      </c>
      <c r="B65" s="258">
        <v>40000</v>
      </c>
      <c r="C65" s="151"/>
      <c r="D65" s="258">
        <f>B65*C65</f>
        <v>0</v>
      </c>
      <c r="E65" s="11"/>
      <c r="F65" s="157"/>
      <c r="G65" s="158"/>
      <c r="H65" s="158"/>
      <c r="I65" s="158"/>
      <c r="J65" s="158"/>
      <c r="K65" s="158"/>
      <c r="L65" s="268"/>
      <c r="M65" s="157"/>
      <c r="N65" s="158"/>
      <c r="O65" s="158"/>
      <c r="P65" s="158"/>
      <c r="Q65" s="158"/>
      <c r="R65" s="158"/>
      <c r="S65" s="268"/>
      <c r="T65" s="157"/>
      <c r="U65" s="158"/>
      <c r="V65" s="158"/>
      <c r="W65" s="158"/>
      <c r="X65" s="158"/>
      <c r="Y65" s="158"/>
      <c r="Z65" s="268"/>
      <c r="AA65" s="157"/>
      <c r="AB65" s="158"/>
      <c r="AC65" s="158"/>
      <c r="AD65" s="158"/>
      <c r="AE65" s="158"/>
      <c r="AF65" s="158"/>
      <c r="AG65" s="268"/>
      <c r="AH65" s="29"/>
      <c r="AI65" s="30"/>
      <c r="AJ65" s="30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  <c r="AZ65" s="31"/>
      <c r="BA65" s="31"/>
      <c r="BB65" s="31"/>
      <c r="BC65" s="31"/>
      <c r="BD65" s="31"/>
      <c r="BE65" s="31"/>
    </row>
    <row r="66" spans="1:57" ht="30" outlineLevel="3" x14ac:dyDescent="0.25">
      <c r="A66" s="278" t="s">
        <v>113</v>
      </c>
      <c r="B66" s="253">
        <v>4000</v>
      </c>
      <c r="C66" s="151"/>
      <c r="D66" s="258">
        <f>B66*C66</f>
        <v>0</v>
      </c>
      <c r="E66" s="11"/>
      <c r="F66" s="157"/>
      <c r="G66" s="158"/>
      <c r="H66" s="158"/>
      <c r="I66" s="158"/>
      <c r="J66" s="158"/>
      <c r="K66" s="158"/>
      <c r="L66" s="268"/>
      <c r="M66" s="157"/>
      <c r="N66" s="158"/>
      <c r="O66" s="158"/>
      <c r="P66" s="158"/>
      <c r="Q66" s="158"/>
      <c r="R66" s="158"/>
      <c r="S66" s="268"/>
      <c r="T66" s="157"/>
      <c r="U66" s="158"/>
      <c r="V66" s="158"/>
      <c r="W66" s="158"/>
      <c r="X66" s="158"/>
      <c r="Y66" s="158"/>
      <c r="Z66" s="268"/>
      <c r="AA66" s="157"/>
      <c r="AB66" s="158"/>
      <c r="AC66" s="158"/>
      <c r="AD66" s="158"/>
      <c r="AE66" s="158"/>
      <c r="AF66" s="158"/>
      <c r="AG66" s="268"/>
      <c r="AH66" s="29"/>
      <c r="AI66" s="30"/>
      <c r="AJ66" s="30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</row>
    <row r="67" spans="1:57" outlineLevel="2" x14ac:dyDescent="0.25">
      <c r="A67" s="275" t="s">
        <v>31</v>
      </c>
      <c r="B67" s="258">
        <v>55000</v>
      </c>
      <c r="C67" s="151"/>
      <c r="D67" s="258">
        <f t="shared" ref="D67:D70" si="29">B67*C67</f>
        <v>0</v>
      </c>
      <c r="E67" s="11"/>
      <c r="F67" s="157"/>
      <c r="G67" s="158"/>
      <c r="H67" s="158"/>
      <c r="I67" s="158"/>
      <c r="J67" s="158"/>
      <c r="K67" s="158"/>
      <c r="L67" s="268"/>
      <c r="M67" s="157"/>
      <c r="N67" s="158"/>
      <c r="O67" s="158"/>
      <c r="P67" s="158"/>
      <c r="Q67" s="158"/>
      <c r="R67" s="158"/>
      <c r="S67" s="268"/>
      <c r="T67" s="157"/>
      <c r="U67" s="158"/>
      <c r="V67" s="158"/>
      <c r="W67" s="158"/>
      <c r="X67" s="158"/>
      <c r="Y67" s="158"/>
      <c r="Z67" s="268"/>
      <c r="AA67" s="157"/>
      <c r="AB67" s="158"/>
      <c r="AC67" s="158"/>
      <c r="AD67" s="158"/>
      <c r="AE67" s="158"/>
      <c r="AF67" s="158"/>
      <c r="AG67" s="268"/>
      <c r="AH67" s="29"/>
      <c r="AI67" s="30"/>
      <c r="AJ67" s="30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  <c r="AZ67" s="31"/>
      <c r="BA67" s="31"/>
      <c r="BB67" s="31"/>
      <c r="BC67" s="31"/>
      <c r="BD67" s="31"/>
      <c r="BE67" s="31"/>
    </row>
    <row r="68" spans="1:57" ht="30" outlineLevel="3" x14ac:dyDescent="0.25">
      <c r="A68" s="278" t="s">
        <v>113</v>
      </c>
      <c r="B68" s="258">
        <v>5000</v>
      </c>
      <c r="C68" s="151"/>
      <c r="D68" s="258">
        <f t="shared" si="29"/>
        <v>0</v>
      </c>
      <c r="E68" s="11"/>
      <c r="F68" s="157"/>
      <c r="G68" s="158"/>
      <c r="H68" s="158"/>
      <c r="I68" s="158"/>
      <c r="J68" s="158"/>
      <c r="K68" s="158"/>
      <c r="L68" s="268"/>
      <c r="M68" s="157"/>
      <c r="N68" s="158"/>
      <c r="O68" s="158"/>
      <c r="P68" s="158"/>
      <c r="Q68" s="158"/>
      <c r="R68" s="158"/>
      <c r="S68" s="268"/>
      <c r="T68" s="157"/>
      <c r="U68" s="158"/>
      <c r="V68" s="158"/>
      <c r="W68" s="158"/>
      <c r="X68" s="158"/>
      <c r="Y68" s="158"/>
      <c r="Z68" s="268"/>
      <c r="AA68" s="157"/>
      <c r="AB68" s="158"/>
      <c r="AC68" s="158"/>
      <c r="AD68" s="158"/>
      <c r="AE68" s="158"/>
      <c r="AF68" s="158"/>
      <c r="AG68" s="268"/>
      <c r="AH68" s="29"/>
      <c r="AI68" s="30"/>
      <c r="AJ68" s="30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  <c r="AZ68" s="31"/>
      <c r="BA68" s="31"/>
      <c r="BB68" s="31"/>
      <c r="BC68" s="31"/>
      <c r="BD68" s="31"/>
      <c r="BE68" s="31"/>
    </row>
    <row r="69" spans="1:57" outlineLevel="2" x14ac:dyDescent="0.25">
      <c r="A69" s="275" t="s">
        <v>32</v>
      </c>
      <c r="B69" s="258">
        <v>75000</v>
      </c>
      <c r="C69" s="151"/>
      <c r="D69" s="258">
        <f t="shared" si="29"/>
        <v>0</v>
      </c>
      <c r="E69" s="11"/>
      <c r="F69" s="157"/>
      <c r="G69" s="158"/>
      <c r="H69" s="158"/>
      <c r="I69" s="158"/>
      <c r="J69" s="158"/>
      <c r="K69" s="158"/>
      <c r="L69" s="268"/>
      <c r="M69" s="157"/>
      <c r="N69" s="158"/>
      <c r="O69" s="158"/>
      <c r="P69" s="158"/>
      <c r="Q69" s="158"/>
      <c r="R69" s="158"/>
      <c r="S69" s="268"/>
      <c r="T69" s="157"/>
      <c r="U69" s="158"/>
      <c r="V69" s="158"/>
      <c r="W69" s="158"/>
      <c r="X69" s="158"/>
      <c r="Y69" s="158"/>
      <c r="Z69" s="268"/>
      <c r="AA69" s="157"/>
      <c r="AB69" s="158"/>
      <c r="AC69" s="158"/>
      <c r="AD69" s="158"/>
      <c r="AE69" s="158"/>
      <c r="AF69" s="158"/>
      <c r="AG69" s="268"/>
      <c r="AH69" s="29"/>
      <c r="AI69" s="30"/>
      <c r="AJ69" s="30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  <c r="AZ69" s="31"/>
      <c r="BA69" s="31"/>
      <c r="BB69" s="31"/>
      <c r="BC69" s="31"/>
      <c r="BD69" s="31"/>
      <c r="BE69" s="31"/>
    </row>
    <row r="70" spans="1:57" ht="30" outlineLevel="3" x14ac:dyDescent="0.25">
      <c r="A70" s="278" t="s">
        <v>113</v>
      </c>
      <c r="B70" s="258">
        <v>6000</v>
      </c>
      <c r="C70" s="151"/>
      <c r="D70" s="258">
        <f t="shared" si="29"/>
        <v>0</v>
      </c>
      <c r="E70" s="11"/>
      <c r="F70" s="157"/>
      <c r="G70" s="158"/>
      <c r="H70" s="158"/>
      <c r="I70" s="158"/>
      <c r="J70" s="158"/>
      <c r="K70" s="158"/>
      <c r="L70" s="268"/>
      <c r="M70" s="157"/>
      <c r="N70" s="158"/>
      <c r="O70" s="158"/>
      <c r="P70" s="158"/>
      <c r="Q70" s="158"/>
      <c r="R70" s="158"/>
      <c r="S70" s="268"/>
      <c r="T70" s="157"/>
      <c r="U70" s="158"/>
      <c r="V70" s="158"/>
      <c r="W70" s="158"/>
      <c r="X70" s="158"/>
      <c r="Y70" s="158"/>
      <c r="Z70" s="268"/>
      <c r="AA70" s="157"/>
      <c r="AB70" s="158"/>
      <c r="AC70" s="158"/>
      <c r="AD70" s="158"/>
      <c r="AE70" s="158"/>
      <c r="AF70" s="158"/>
      <c r="AG70" s="268"/>
      <c r="AH70" s="29"/>
      <c r="AI70" s="30"/>
      <c r="AJ70" s="30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  <c r="AZ70" s="31"/>
      <c r="BA70" s="31"/>
      <c r="BB70" s="31"/>
      <c r="BC70" s="31"/>
      <c r="BD70" s="31"/>
      <c r="BE70" s="31"/>
    </row>
    <row r="71" spans="1:57" s="218" customFormat="1" ht="15.75" outlineLevel="1" x14ac:dyDescent="0.25">
      <c r="A71" s="227" t="s">
        <v>14</v>
      </c>
      <c r="B71" s="228"/>
      <c r="C71" s="229"/>
      <c r="D71" s="223">
        <f>SUM(D72:D76)</f>
        <v>0</v>
      </c>
      <c r="E71" s="213"/>
      <c r="F71" s="188" t="str">
        <f>IF(CONCATENATE(F72,F73,F74,F75,F76)&gt;" ","х"," ")</f>
        <v xml:space="preserve"> </v>
      </c>
      <c r="G71" s="214" t="str">
        <f>IF(CONCATENATE(G72,G73,G74,G75,G76)&gt;" ","х"," ")</f>
        <v xml:space="preserve"> </v>
      </c>
      <c r="H71" s="214" t="str">
        <f t="shared" ref="H71:L71" si="30">IF(CONCATENATE(H72,H73,H74,H75,H76)&gt;" ","х"," ")</f>
        <v xml:space="preserve"> </v>
      </c>
      <c r="I71" s="214" t="str">
        <f t="shared" si="30"/>
        <v xml:space="preserve"> </v>
      </c>
      <c r="J71" s="214" t="str">
        <f t="shared" si="30"/>
        <v xml:space="preserve"> </v>
      </c>
      <c r="K71" s="214" t="str">
        <f t="shared" si="30"/>
        <v xml:space="preserve"> </v>
      </c>
      <c r="L71" s="266" t="str">
        <f t="shared" si="30"/>
        <v xml:space="preserve"> </v>
      </c>
      <c r="M71" s="188" t="str">
        <f>IF(CONCATENATE(M72,M73,M74,M75,M76)&gt;" ","х"," ")</f>
        <v xml:space="preserve"> </v>
      </c>
      <c r="N71" s="214" t="str">
        <f>IF(CONCATENATE(N72,N73,N74,N75,N76)&gt;" ","х"," ")</f>
        <v xml:space="preserve"> </v>
      </c>
      <c r="O71" s="214" t="str">
        <f t="shared" ref="O71:S71" si="31">IF(CONCATENATE(O72,O73,O74,O75,O76)&gt;" ","х"," ")</f>
        <v xml:space="preserve"> </v>
      </c>
      <c r="P71" s="214" t="str">
        <f t="shared" si="31"/>
        <v xml:space="preserve"> </v>
      </c>
      <c r="Q71" s="214" t="str">
        <f t="shared" si="31"/>
        <v xml:space="preserve"> </v>
      </c>
      <c r="R71" s="214" t="str">
        <f t="shared" si="31"/>
        <v xml:space="preserve"> </v>
      </c>
      <c r="S71" s="266" t="str">
        <f t="shared" si="31"/>
        <v xml:space="preserve"> </v>
      </c>
      <c r="T71" s="188" t="str">
        <f>IF(CONCATENATE(T72,T73,T74,T75,T76)&gt;" ","х"," ")</f>
        <v xml:space="preserve"> </v>
      </c>
      <c r="U71" s="214" t="str">
        <f>IF(CONCATENATE(U72,U73,U74,U75,U76)&gt;" ","х"," ")</f>
        <v xml:space="preserve"> </v>
      </c>
      <c r="V71" s="214" t="str">
        <f t="shared" ref="V71:Z71" si="32">IF(CONCATENATE(V72,V73,V74,V75,V76)&gt;" ","х"," ")</f>
        <v xml:space="preserve"> </v>
      </c>
      <c r="W71" s="214" t="str">
        <f t="shared" si="32"/>
        <v xml:space="preserve"> </v>
      </c>
      <c r="X71" s="214" t="str">
        <f t="shared" si="32"/>
        <v xml:space="preserve"> </v>
      </c>
      <c r="Y71" s="214" t="str">
        <f t="shared" si="32"/>
        <v xml:space="preserve"> </v>
      </c>
      <c r="Z71" s="266" t="str">
        <f t="shared" si="32"/>
        <v xml:space="preserve"> </v>
      </c>
      <c r="AA71" s="188" t="str">
        <f>IF(CONCATENATE(AA72,AA73,AA74,AA75,AA76)&gt;" ","х"," ")</f>
        <v xml:space="preserve"> </v>
      </c>
      <c r="AB71" s="214" t="str">
        <f>IF(CONCATENATE(AB72,AB73,AB74,AB75,AB76)&gt;" ","х"," ")</f>
        <v xml:space="preserve"> </v>
      </c>
      <c r="AC71" s="214" t="str">
        <f t="shared" ref="AC71:AG71" si="33">IF(CONCATENATE(AC72,AC73,AC74,AC75,AC76)&gt;" ","х"," ")</f>
        <v xml:space="preserve"> </v>
      </c>
      <c r="AD71" s="214" t="str">
        <f t="shared" si="33"/>
        <v xml:space="preserve"> </v>
      </c>
      <c r="AE71" s="214" t="str">
        <f t="shared" si="33"/>
        <v xml:space="preserve"> </v>
      </c>
      <c r="AF71" s="214" t="str">
        <f t="shared" si="33"/>
        <v xml:space="preserve"> </v>
      </c>
      <c r="AG71" s="266" t="str">
        <f t="shared" si="33"/>
        <v xml:space="preserve"> </v>
      </c>
      <c r="AH71" s="215"/>
      <c r="AI71" s="216"/>
      <c r="AJ71" s="216"/>
      <c r="AK71" s="217"/>
      <c r="AL71" s="217"/>
      <c r="AM71" s="217"/>
      <c r="AN71" s="217"/>
      <c r="AO71" s="217"/>
      <c r="AP71" s="217"/>
      <c r="AQ71" s="217"/>
      <c r="AR71" s="217"/>
      <c r="AS71" s="217"/>
      <c r="AT71" s="217"/>
      <c r="AU71" s="217"/>
      <c r="AV71" s="217"/>
      <c r="AW71" s="217"/>
      <c r="AX71" s="217"/>
      <c r="AY71" s="217"/>
      <c r="AZ71" s="217"/>
      <c r="BA71" s="217"/>
      <c r="BB71" s="217"/>
      <c r="BC71" s="217"/>
      <c r="BD71" s="217"/>
      <c r="BE71" s="217"/>
    </row>
    <row r="72" spans="1:57" outlineLevel="2" x14ac:dyDescent="0.25">
      <c r="A72" s="275" t="s">
        <v>40</v>
      </c>
      <c r="B72" s="253">
        <v>42500</v>
      </c>
      <c r="C72" s="148"/>
      <c r="D72" s="253">
        <f t="shared" ref="D72:D73" si="34">B72*C72</f>
        <v>0</v>
      </c>
      <c r="E72" s="11"/>
      <c r="F72" s="157"/>
      <c r="G72" s="158"/>
      <c r="H72" s="158"/>
      <c r="I72" s="158"/>
      <c r="J72" s="158"/>
      <c r="K72" s="158"/>
      <c r="L72" s="268"/>
      <c r="M72" s="157"/>
      <c r="N72" s="158"/>
      <c r="O72" s="158"/>
      <c r="P72" s="158"/>
      <c r="Q72" s="158"/>
      <c r="R72" s="158"/>
      <c r="S72" s="268"/>
      <c r="T72" s="157"/>
      <c r="U72" s="158"/>
      <c r="V72" s="158"/>
      <c r="W72" s="158"/>
      <c r="X72" s="158"/>
      <c r="Y72" s="158"/>
      <c r="Z72" s="268"/>
      <c r="AA72" s="157"/>
      <c r="AB72" s="158"/>
      <c r="AC72" s="158"/>
      <c r="AD72" s="158"/>
      <c r="AE72" s="158"/>
      <c r="AF72" s="158"/>
      <c r="AG72" s="268"/>
      <c r="AH72" s="29"/>
      <c r="AI72" s="30"/>
      <c r="AJ72" s="30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  <c r="AZ72" s="31"/>
      <c r="BA72" s="31"/>
      <c r="BB72" s="31"/>
      <c r="BC72" s="31"/>
      <c r="BD72" s="31"/>
      <c r="BE72" s="31"/>
    </row>
    <row r="73" spans="1:57" outlineLevel="2" x14ac:dyDescent="0.25">
      <c r="A73" s="275" t="s">
        <v>41</v>
      </c>
      <c r="B73" s="253">
        <v>67500</v>
      </c>
      <c r="C73" s="148"/>
      <c r="D73" s="253">
        <f t="shared" si="34"/>
        <v>0</v>
      </c>
      <c r="E73" s="11"/>
      <c r="F73" s="157"/>
      <c r="G73" s="158"/>
      <c r="H73" s="158"/>
      <c r="I73" s="158"/>
      <c r="J73" s="158"/>
      <c r="K73" s="158"/>
      <c r="L73" s="268"/>
      <c r="M73" s="157"/>
      <c r="N73" s="158"/>
      <c r="O73" s="158"/>
      <c r="P73" s="158"/>
      <c r="Q73" s="158"/>
      <c r="R73" s="158"/>
      <c r="S73" s="268"/>
      <c r="T73" s="157"/>
      <c r="U73" s="158"/>
      <c r="V73" s="158"/>
      <c r="W73" s="158"/>
      <c r="X73" s="158"/>
      <c r="Y73" s="158"/>
      <c r="Z73" s="268"/>
      <c r="AA73" s="157"/>
      <c r="AB73" s="158"/>
      <c r="AC73" s="158"/>
      <c r="AD73" s="158"/>
      <c r="AE73" s="158"/>
      <c r="AF73" s="158"/>
      <c r="AG73" s="268"/>
      <c r="AH73" s="29"/>
      <c r="AI73" s="30"/>
      <c r="AJ73" s="30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  <c r="AZ73" s="31"/>
      <c r="BA73" s="31"/>
      <c r="BB73" s="31"/>
      <c r="BC73" s="31"/>
      <c r="BD73" s="31"/>
      <c r="BE73" s="31"/>
    </row>
    <row r="74" spans="1:57" s="9" customFormat="1" outlineLevel="2" x14ac:dyDescent="0.25">
      <c r="A74" s="275" t="s">
        <v>42</v>
      </c>
      <c r="B74" s="253">
        <v>115000</v>
      </c>
      <c r="C74" s="148"/>
      <c r="D74" s="253">
        <f>B74*C74</f>
        <v>0</v>
      </c>
      <c r="E74" s="10"/>
      <c r="F74" s="157"/>
      <c r="G74" s="158"/>
      <c r="H74" s="158"/>
      <c r="I74" s="158"/>
      <c r="J74" s="158"/>
      <c r="K74" s="158"/>
      <c r="L74" s="268"/>
      <c r="M74" s="157"/>
      <c r="N74" s="158"/>
      <c r="O74" s="158"/>
      <c r="P74" s="158"/>
      <c r="Q74" s="158"/>
      <c r="R74" s="158"/>
      <c r="S74" s="268"/>
      <c r="T74" s="157"/>
      <c r="U74" s="158"/>
      <c r="V74" s="158"/>
      <c r="W74" s="158"/>
      <c r="X74" s="158"/>
      <c r="Y74" s="158"/>
      <c r="Z74" s="268"/>
      <c r="AA74" s="157"/>
      <c r="AB74" s="158"/>
      <c r="AC74" s="158"/>
      <c r="AD74" s="158"/>
      <c r="AE74" s="158"/>
      <c r="AF74" s="158"/>
      <c r="AG74" s="268"/>
      <c r="AH74" s="26"/>
      <c r="AI74" s="27"/>
      <c r="AJ74" s="27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  <c r="AW74" s="28"/>
      <c r="AX74" s="28"/>
      <c r="AY74" s="28"/>
      <c r="AZ74" s="28"/>
      <c r="BA74" s="28"/>
      <c r="BB74" s="28"/>
      <c r="BC74" s="28"/>
      <c r="BD74" s="28"/>
      <c r="BE74" s="28"/>
    </row>
    <row r="75" spans="1:57" s="9" customFormat="1" outlineLevel="2" x14ac:dyDescent="0.25">
      <c r="A75" s="275" t="s">
        <v>107</v>
      </c>
      <c r="B75" s="253">
        <v>55000</v>
      </c>
      <c r="C75" s="148"/>
      <c r="D75" s="253">
        <f>B75*C75</f>
        <v>0</v>
      </c>
      <c r="E75" s="10"/>
      <c r="F75" s="157"/>
      <c r="G75" s="158"/>
      <c r="H75" s="158"/>
      <c r="I75" s="158"/>
      <c r="J75" s="158"/>
      <c r="K75" s="158"/>
      <c r="L75" s="268"/>
      <c r="M75" s="157"/>
      <c r="N75" s="158"/>
      <c r="O75" s="158"/>
      <c r="P75" s="158"/>
      <c r="Q75" s="158"/>
      <c r="R75" s="158"/>
      <c r="S75" s="268"/>
      <c r="T75" s="157"/>
      <c r="U75" s="158"/>
      <c r="V75" s="158"/>
      <c r="W75" s="158"/>
      <c r="X75" s="158"/>
      <c r="Y75" s="158"/>
      <c r="Z75" s="268"/>
      <c r="AA75" s="157"/>
      <c r="AB75" s="158"/>
      <c r="AC75" s="158"/>
      <c r="AD75" s="158"/>
      <c r="AE75" s="158"/>
      <c r="AF75" s="158"/>
      <c r="AG75" s="268"/>
      <c r="AH75" s="26"/>
      <c r="AI75" s="27"/>
      <c r="AJ75" s="27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  <c r="AV75" s="28"/>
      <c r="AW75" s="28"/>
      <c r="AX75" s="28"/>
      <c r="AY75" s="28"/>
      <c r="AZ75" s="28"/>
      <c r="BA75" s="28"/>
      <c r="BB75" s="28"/>
      <c r="BC75" s="28"/>
      <c r="BD75" s="28"/>
      <c r="BE75" s="28"/>
    </row>
    <row r="76" spans="1:57" s="9" customFormat="1" outlineLevel="2" x14ac:dyDescent="0.25">
      <c r="A76" s="275" t="s">
        <v>108</v>
      </c>
      <c r="B76" s="253">
        <v>50000</v>
      </c>
      <c r="C76" s="148"/>
      <c r="D76" s="253">
        <f>B76*C76</f>
        <v>0</v>
      </c>
      <c r="E76" s="10"/>
      <c r="F76" s="157"/>
      <c r="G76" s="158"/>
      <c r="H76" s="158"/>
      <c r="I76" s="158"/>
      <c r="J76" s="158"/>
      <c r="K76" s="158"/>
      <c r="L76" s="268"/>
      <c r="M76" s="157"/>
      <c r="N76" s="158"/>
      <c r="O76" s="158"/>
      <c r="P76" s="158"/>
      <c r="Q76" s="158"/>
      <c r="R76" s="158"/>
      <c r="S76" s="268"/>
      <c r="T76" s="157"/>
      <c r="U76" s="158"/>
      <c r="V76" s="158"/>
      <c r="W76" s="158"/>
      <c r="X76" s="158"/>
      <c r="Y76" s="158"/>
      <c r="Z76" s="268"/>
      <c r="AA76" s="157"/>
      <c r="AB76" s="158"/>
      <c r="AC76" s="158"/>
      <c r="AD76" s="158"/>
      <c r="AE76" s="158"/>
      <c r="AF76" s="158"/>
      <c r="AG76" s="268"/>
      <c r="AH76" s="26"/>
      <c r="AI76" s="27"/>
      <c r="AJ76" s="27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  <c r="AW76" s="28"/>
      <c r="AX76" s="28"/>
      <c r="AY76" s="28"/>
      <c r="AZ76" s="28"/>
      <c r="BA76" s="28"/>
      <c r="BB76" s="28"/>
      <c r="BC76" s="28"/>
      <c r="BD76" s="28"/>
      <c r="BE76" s="28"/>
    </row>
    <row r="77" spans="1:57" s="9" customFormat="1" x14ac:dyDescent="0.25">
      <c r="A77" s="283"/>
      <c r="B77" s="259"/>
      <c r="C77" s="46"/>
      <c r="D77" s="299">
        <v>0</v>
      </c>
      <c r="E77" s="10"/>
      <c r="F77" s="38"/>
      <c r="G77" s="39"/>
      <c r="H77" s="39"/>
      <c r="I77" s="39"/>
      <c r="J77" s="39"/>
      <c r="K77" s="39"/>
      <c r="L77" s="266"/>
      <c r="M77" s="38"/>
      <c r="N77" s="40"/>
      <c r="O77" s="40"/>
      <c r="P77" s="40"/>
      <c r="Q77" s="40"/>
      <c r="R77" s="39"/>
      <c r="S77" s="266"/>
      <c r="T77" s="38"/>
      <c r="U77" s="39"/>
      <c r="V77" s="39"/>
      <c r="W77" s="39"/>
      <c r="X77" s="39"/>
      <c r="Y77" s="39"/>
      <c r="Z77" s="266"/>
      <c r="AA77" s="188"/>
      <c r="AB77" s="69"/>
      <c r="AC77" s="69"/>
      <c r="AD77" s="69"/>
      <c r="AE77" s="69"/>
      <c r="AF77" s="39"/>
      <c r="AG77" s="266"/>
      <c r="AH77" s="26"/>
      <c r="AI77" s="27"/>
      <c r="AJ77" s="27"/>
      <c r="AK77" s="28"/>
      <c r="AL77" s="28"/>
      <c r="AM77" s="28"/>
      <c r="AN77" s="28"/>
      <c r="AO77" s="28"/>
      <c r="AP77" s="28"/>
      <c r="AQ77" s="28"/>
      <c r="AR77" s="28"/>
      <c r="AS77" s="28"/>
      <c r="AT77" s="28"/>
      <c r="AU77" s="28"/>
      <c r="AV77" s="28"/>
      <c r="AW77" s="28"/>
      <c r="AX77" s="28"/>
      <c r="AY77" s="28"/>
      <c r="AZ77" s="28"/>
      <c r="BA77" s="28"/>
      <c r="BB77" s="28"/>
      <c r="BC77" s="28"/>
      <c r="BD77" s="28"/>
      <c r="BE77" s="28"/>
    </row>
    <row r="78" spans="1:57" s="3" customFormat="1" ht="16.5" thickBot="1" x14ac:dyDescent="0.3">
      <c r="A78" s="284"/>
      <c r="B78" s="260"/>
      <c r="C78" s="46"/>
      <c r="D78" s="300">
        <v>0</v>
      </c>
      <c r="E78" s="22"/>
      <c r="F78" s="43"/>
      <c r="G78" s="44"/>
      <c r="H78" s="44"/>
      <c r="I78" s="44"/>
      <c r="J78" s="44"/>
      <c r="K78" s="44"/>
      <c r="L78" s="265"/>
      <c r="M78" s="43"/>
      <c r="N78" s="45"/>
      <c r="O78" s="45"/>
      <c r="P78" s="45"/>
      <c r="Q78" s="45"/>
      <c r="R78" s="44"/>
      <c r="S78" s="265"/>
      <c r="T78" s="43"/>
      <c r="U78" s="44"/>
      <c r="V78" s="44"/>
      <c r="W78" s="44"/>
      <c r="X78" s="44"/>
      <c r="Y78" s="44"/>
      <c r="Z78" s="265"/>
      <c r="AA78" s="43"/>
      <c r="AB78" s="45"/>
      <c r="AC78" s="45"/>
      <c r="AD78" s="70"/>
      <c r="AE78" s="70"/>
      <c r="AF78" s="70"/>
      <c r="AG78" s="265"/>
      <c r="AH78" s="35"/>
      <c r="AI78" s="36"/>
      <c r="AJ78" s="36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37"/>
      <c r="BD78" s="37"/>
      <c r="BE78" s="37"/>
    </row>
    <row r="79" spans="1:57" s="234" customFormat="1" ht="47.25" thickBot="1" x14ac:dyDescent="0.3">
      <c r="A79" s="198" t="s">
        <v>8</v>
      </c>
      <c r="B79" s="201"/>
      <c r="C79" s="230"/>
      <c r="D79" s="201">
        <f>SUM(D80:D95)</f>
        <v>0</v>
      </c>
      <c r="E79" s="231"/>
      <c r="F79" s="203" t="str">
        <f>IF(CONCATENATE(F80,F81,F82,F87,F88,F83,F84,F89,F90,F92,F85,F86,F94,F95)&gt;" ","х"," ")</f>
        <v xml:space="preserve"> </v>
      </c>
      <c r="G79" s="204" t="str">
        <f>IF(CONCATENATE(G80,G81,G82,G83,G84,G87,G88,G89,G90,G92,G85,G86,G94,G95)&gt;" ","х"," ")</f>
        <v xml:space="preserve"> </v>
      </c>
      <c r="H79" s="204" t="str">
        <f t="shared" ref="H79:L79" si="35">IF(CONCATENATE(H80,H81,H82,H83,H84,H87,H88,H89,H90,H92,H85,H86,H94,H95)&gt;" ","х"," ")</f>
        <v xml:space="preserve"> </v>
      </c>
      <c r="I79" s="204" t="str">
        <f t="shared" si="35"/>
        <v xml:space="preserve"> </v>
      </c>
      <c r="J79" s="204" t="str">
        <f t="shared" si="35"/>
        <v xml:space="preserve"> </v>
      </c>
      <c r="K79" s="204" t="str">
        <f t="shared" si="35"/>
        <v xml:space="preserve"> </v>
      </c>
      <c r="L79" s="205" t="str">
        <f t="shared" si="35"/>
        <v xml:space="preserve"> </v>
      </c>
      <c r="M79" s="203" t="str">
        <f>IF(CONCATENATE(M80,M81,M82,M87,M88,M83,M84,M89,M90,M92,M85,M86,M94,M95)&gt;" ","х"," ")</f>
        <v xml:space="preserve"> </v>
      </c>
      <c r="N79" s="204" t="str">
        <f>IF(CONCATENATE(N80,N81,N82,N83,N84,N87,N88,N89,N90,N92,N85,N86,N94,N95)&gt;" ","х"," ")</f>
        <v xml:space="preserve"> </v>
      </c>
      <c r="O79" s="204" t="str">
        <f t="shared" ref="O79:S79" si="36">IF(CONCATENATE(O80,O81,O82,O83,O84,O87,O88,O89,O90,O92,O85,O86,O94,O95)&gt;" ","х"," ")</f>
        <v xml:space="preserve"> </v>
      </c>
      <c r="P79" s="204" t="str">
        <f t="shared" si="36"/>
        <v xml:space="preserve"> </v>
      </c>
      <c r="Q79" s="204" t="str">
        <f t="shared" si="36"/>
        <v xml:space="preserve"> </v>
      </c>
      <c r="R79" s="204" t="str">
        <f t="shared" si="36"/>
        <v xml:space="preserve"> </v>
      </c>
      <c r="S79" s="205" t="str">
        <f t="shared" si="36"/>
        <v xml:space="preserve"> </v>
      </c>
      <c r="T79" s="203" t="str">
        <f>IF(CONCATENATE(T80,T81,T82,T87,T88,T83,T84,T89,T90,T92,T85,T86,T94,T95)&gt;" ","х"," ")</f>
        <v xml:space="preserve"> </v>
      </c>
      <c r="U79" s="204" t="str">
        <f>IF(CONCATENATE(U80,U81,U82,U83,U84,U87,U88,U89,U90,U92,U85,U86,U94,U95)&gt;" ","х"," ")</f>
        <v xml:space="preserve"> </v>
      </c>
      <c r="V79" s="204" t="str">
        <f t="shared" ref="V79:Y79" si="37">IF(CONCATENATE(V80,V81,V82,V83,V84,V87,V88,V89,V90,V92,V85,V86,V94,V95)&gt;" ","х"," ")</f>
        <v xml:space="preserve"> </v>
      </c>
      <c r="W79" s="204" t="str">
        <f t="shared" si="37"/>
        <v xml:space="preserve"> </v>
      </c>
      <c r="X79" s="204" t="str">
        <f t="shared" si="37"/>
        <v xml:space="preserve"> </v>
      </c>
      <c r="Y79" s="204" t="str">
        <f t="shared" si="37"/>
        <v xml:space="preserve"> </v>
      </c>
      <c r="Z79" s="205" t="str">
        <f>IF(CONCATENATE(Z80,Z81,Z82,Z83,Z84,Z87,Z88,Z89,Z90,Z92,Z85,Z86,Z94,Z95)&gt;" ","х"," ")</f>
        <v xml:space="preserve"> </v>
      </c>
      <c r="AA79" s="203" t="str">
        <f>IF(CONCATENATE(AA80,AA81,AA82,AA87,AA88,AA83,AA84,AA89,AA90,AA92,AA85,AA86,AA94,AA95)&gt;" ","х"," ")</f>
        <v xml:space="preserve"> </v>
      </c>
      <c r="AB79" s="204" t="str">
        <f>IF(CONCATENATE(AB80,AB81,AB82,AB83,AB84,AB87,AB88,AB89,AB90,AB92,AB85,AB86,AB94,AB95)&gt;" ","х"," ")</f>
        <v xml:space="preserve"> </v>
      </c>
      <c r="AC79" s="204" t="str">
        <f t="shared" ref="AC79:AF79" si="38">IF(CONCATENATE(AC80,AC81,AC82,AC83,AC84,AC87,AC88,AC89,AC90,AC92,AC85,AC86,AC94,AC95)&gt;" ","х"," ")</f>
        <v xml:space="preserve"> </v>
      </c>
      <c r="AD79" s="204" t="str">
        <f t="shared" si="38"/>
        <v xml:space="preserve"> </v>
      </c>
      <c r="AE79" s="204" t="str">
        <f t="shared" si="38"/>
        <v xml:space="preserve"> </v>
      </c>
      <c r="AF79" s="204" t="str">
        <f t="shared" si="38"/>
        <v xml:space="preserve"> </v>
      </c>
      <c r="AG79" s="205" t="str">
        <f>IF(CONCATENATE(AG80,AG81,AG82,AG83,AG84,AG87,AG88,AG89,AG90,AG92,AG85,AG86,AG94,AG95)&gt;" ","х"," ")</f>
        <v xml:space="preserve"> </v>
      </c>
      <c r="AH79" s="232"/>
      <c r="AI79" s="233"/>
      <c r="AJ79" s="233"/>
    </row>
    <row r="80" spans="1:57" outlineLevel="1" x14ac:dyDescent="0.25">
      <c r="A80" s="274" t="s">
        <v>77</v>
      </c>
      <c r="B80" s="252">
        <v>120000</v>
      </c>
      <c r="C80" s="147"/>
      <c r="D80" s="252">
        <f>B80*C80</f>
        <v>0</v>
      </c>
      <c r="E80" s="21"/>
      <c r="F80" s="157"/>
      <c r="G80" s="158"/>
      <c r="H80" s="158"/>
      <c r="I80" s="158"/>
      <c r="J80" s="158"/>
      <c r="K80" s="158"/>
      <c r="L80" s="268"/>
      <c r="M80" s="157"/>
      <c r="N80" s="158"/>
      <c r="O80" s="158"/>
      <c r="P80" s="158"/>
      <c r="Q80" s="158"/>
      <c r="R80" s="158"/>
      <c r="S80" s="268"/>
      <c r="T80" s="157"/>
      <c r="U80" s="158"/>
      <c r="V80" s="158"/>
      <c r="W80" s="158"/>
      <c r="X80" s="158"/>
      <c r="Y80" s="158"/>
      <c r="Z80" s="268"/>
      <c r="AA80" s="157"/>
      <c r="AB80" s="158"/>
      <c r="AC80" s="158"/>
      <c r="AD80" s="158"/>
      <c r="AE80" s="158"/>
      <c r="AF80" s="158"/>
      <c r="AG80" s="268"/>
      <c r="AH80" s="29"/>
      <c r="AI80" s="30"/>
      <c r="AJ80" s="30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  <c r="AZ80" s="31"/>
      <c r="BA80" s="31"/>
      <c r="BB80" s="31"/>
      <c r="BC80" s="31"/>
      <c r="BD80" s="31"/>
      <c r="BE80" s="31"/>
    </row>
    <row r="81" spans="1:57" outlineLevel="1" x14ac:dyDescent="0.25">
      <c r="A81" s="274" t="s">
        <v>76</v>
      </c>
      <c r="B81" s="252">
        <v>180000</v>
      </c>
      <c r="C81" s="147"/>
      <c r="D81" s="252">
        <f t="shared" ref="D81:D82" si="39">B81*C81</f>
        <v>0</v>
      </c>
      <c r="E81" s="21"/>
      <c r="F81" s="157"/>
      <c r="G81" s="158"/>
      <c r="H81" s="158"/>
      <c r="I81" s="158"/>
      <c r="J81" s="158"/>
      <c r="K81" s="158"/>
      <c r="L81" s="268"/>
      <c r="M81" s="157"/>
      <c r="N81" s="158"/>
      <c r="O81" s="158"/>
      <c r="P81" s="158"/>
      <c r="Q81" s="158"/>
      <c r="R81" s="158"/>
      <c r="S81" s="268"/>
      <c r="T81" s="157"/>
      <c r="U81" s="158"/>
      <c r="V81" s="158"/>
      <c r="W81" s="158"/>
      <c r="X81" s="158"/>
      <c r="Y81" s="158"/>
      <c r="Z81" s="268"/>
      <c r="AA81" s="157"/>
      <c r="AB81" s="158"/>
      <c r="AC81" s="158"/>
      <c r="AD81" s="158"/>
      <c r="AE81" s="158"/>
      <c r="AF81" s="158"/>
      <c r="AG81" s="268"/>
      <c r="AH81" s="29"/>
      <c r="AI81" s="30"/>
      <c r="AJ81" s="30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  <c r="AZ81" s="31"/>
      <c r="BA81" s="31"/>
      <c r="BB81" s="31"/>
      <c r="BC81" s="31"/>
      <c r="BD81" s="31"/>
      <c r="BE81" s="31"/>
    </row>
    <row r="82" spans="1:57" outlineLevel="1" x14ac:dyDescent="0.25">
      <c r="A82" s="274" t="s">
        <v>75</v>
      </c>
      <c r="B82" s="252">
        <v>290000</v>
      </c>
      <c r="C82" s="147"/>
      <c r="D82" s="252">
        <f t="shared" si="39"/>
        <v>0</v>
      </c>
      <c r="E82" s="21"/>
      <c r="F82" s="157"/>
      <c r="G82" s="158"/>
      <c r="H82" s="158"/>
      <c r="I82" s="158"/>
      <c r="J82" s="158"/>
      <c r="K82" s="158"/>
      <c r="L82" s="268"/>
      <c r="M82" s="157"/>
      <c r="N82" s="158"/>
      <c r="O82" s="158"/>
      <c r="P82" s="158"/>
      <c r="Q82" s="158"/>
      <c r="R82" s="158"/>
      <c r="S82" s="268"/>
      <c r="T82" s="157"/>
      <c r="U82" s="158"/>
      <c r="V82" s="158"/>
      <c r="W82" s="158"/>
      <c r="X82" s="158"/>
      <c r="Y82" s="158"/>
      <c r="Z82" s="268"/>
      <c r="AA82" s="157"/>
      <c r="AB82" s="158"/>
      <c r="AC82" s="158"/>
      <c r="AD82" s="158"/>
      <c r="AE82" s="158"/>
      <c r="AF82" s="158"/>
      <c r="AG82" s="268"/>
      <c r="AH82" s="29"/>
      <c r="AI82" s="30"/>
      <c r="AJ82" s="30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  <c r="AZ82" s="31"/>
      <c r="BA82" s="31"/>
      <c r="BB82" s="31"/>
      <c r="BC82" s="31"/>
      <c r="BD82" s="31"/>
      <c r="BE82" s="31"/>
    </row>
    <row r="83" spans="1:57" outlineLevel="1" x14ac:dyDescent="0.25">
      <c r="A83" s="277" t="s">
        <v>97</v>
      </c>
      <c r="B83" s="253">
        <v>50000</v>
      </c>
      <c r="C83" s="147"/>
      <c r="D83" s="253">
        <f t="shared" ref="D83:D84" si="40">B83*C83</f>
        <v>0</v>
      </c>
      <c r="E83" s="11"/>
      <c r="F83" s="157"/>
      <c r="G83" s="158"/>
      <c r="H83" s="158"/>
      <c r="I83" s="158"/>
      <c r="J83" s="158"/>
      <c r="K83" s="158"/>
      <c r="L83" s="268"/>
      <c r="M83" s="157"/>
      <c r="N83" s="158"/>
      <c r="O83" s="158"/>
      <c r="P83" s="158"/>
      <c r="Q83" s="158"/>
      <c r="R83" s="158"/>
      <c r="S83" s="268"/>
      <c r="T83" s="157"/>
      <c r="U83" s="158"/>
      <c r="V83" s="158"/>
      <c r="W83" s="158"/>
      <c r="X83" s="158"/>
      <c r="Y83" s="158"/>
      <c r="Z83" s="268"/>
      <c r="AA83" s="157"/>
      <c r="AB83" s="158"/>
      <c r="AC83" s="158"/>
      <c r="AD83" s="158"/>
      <c r="AE83" s="158"/>
      <c r="AF83" s="158"/>
      <c r="AG83" s="268"/>
      <c r="AH83" s="29"/>
      <c r="AI83" s="30"/>
      <c r="AJ83" s="30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  <c r="AZ83" s="31"/>
      <c r="BA83" s="31"/>
      <c r="BB83" s="31"/>
      <c r="BC83" s="31"/>
      <c r="BD83" s="31"/>
      <c r="BE83" s="31"/>
    </row>
    <row r="84" spans="1:57" outlineLevel="1" x14ac:dyDescent="0.25">
      <c r="A84" s="277" t="s">
        <v>96</v>
      </c>
      <c r="B84" s="253">
        <v>75000</v>
      </c>
      <c r="C84" s="147"/>
      <c r="D84" s="253">
        <f t="shared" si="40"/>
        <v>0</v>
      </c>
      <c r="E84" s="11"/>
      <c r="F84" s="157"/>
      <c r="G84" s="158"/>
      <c r="H84" s="158"/>
      <c r="I84" s="158"/>
      <c r="J84" s="158"/>
      <c r="K84" s="158"/>
      <c r="L84" s="268"/>
      <c r="M84" s="157"/>
      <c r="N84" s="158"/>
      <c r="O84" s="158"/>
      <c r="P84" s="158"/>
      <c r="Q84" s="158"/>
      <c r="R84" s="158"/>
      <c r="S84" s="268"/>
      <c r="T84" s="157"/>
      <c r="U84" s="158"/>
      <c r="V84" s="158"/>
      <c r="W84" s="158"/>
      <c r="X84" s="158"/>
      <c r="Y84" s="158"/>
      <c r="Z84" s="268"/>
      <c r="AA84" s="157"/>
      <c r="AB84" s="158"/>
      <c r="AC84" s="158"/>
      <c r="AD84" s="158"/>
      <c r="AE84" s="158"/>
      <c r="AF84" s="158"/>
      <c r="AG84" s="268"/>
      <c r="AH84" s="29"/>
      <c r="AI84" s="30"/>
      <c r="AJ84" s="30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  <c r="AZ84" s="31"/>
      <c r="BA84" s="31"/>
      <c r="BB84" s="31"/>
      <c r="BC84" s="31"/>
      <c r="BD84" s="31"/>
      <c r="BE84" s="31"/>
    </row>
    <row r="85" spans="1:57" s="9" customFormat="1" outlineLevel="1" x14ac:dyDescent="0.25">
      <c r="A85" s="277" t="s">
        <v>95</v>
      </c>
      <c r="B85" s="253">
        <v>100000</v>
      </c>
      <c r="C85" s="147"/>
      <c r="D85" s="253">
        <f>B85*C85</f>
        <v>0</v>
      </c>
      <c r="E85" s="10"/>
      <c r="F85" s="157"/>
      <c r="G85" s="158"/>
      <c r="H85" s="158"/>
      <c r="I85" s="158"/>
      <c r="J85" s="158"/>
      <c r="K85" s="158"/>
      <c r="L85" s="268"/>
      <c r="M85" s="157"/>
      <c r="N85" s="158"/>
      <c r="O85" s="158"/>
      <c r="P85" s="158"/>
      <c r="Q85" s="158"/>
      <c r="R85" s="158"/>
      <c r="S85" s="268"/>
      <c r="T85" s="157"/>
      <c r="U85" s="158"/>
      <c r="V85" s="158"/>
      <c r="W85" s="158"/>
      <c r="X85" s="158"/>
      <c r="Y85" s="158"/>
      <c r="Z85" s="268"/>
      <c r="AA85" s="157"/>
      <c r="AB85" s="158"/>
      <c r="AC85" s="158"/>
      <c r="AD85" s="158"/>
      <c r="AE85" s="158"/>
      <c r="AF85" s="158"/>
      <c r="AG85" s="268"/>
      <c r="AH85" s="26"/>
      <c r="AI85" s="27"/>
      <c r="AJ85" s="27"/>
      <c r="AK85" s="28"/>
      <c r="AL85" s="28"/>
      <c r="AM85" s="28"/>
      <c r="AN85" s="28"/>
      <c r="AO85" s="28"/>
      <c r="AP85" s="28"/>
      <c r="AQ85" s="28"/>
      <c r="AR85" s="28"/>
      <c r="AS85" s="28"/>
      <c r="AT85" s="28"/>
      <c r="AU85" s="28"/>
      <c r="AV85" s="28"/>
      <c r="AW85" s="28"/>
      <c r="AX85" s="28"/>
      <c r="AY85" s="28"/>
      <c r="AZ85" s="28"/>
      <c r="BA85" s="28"/>
      <c r="BB85" s="28"/>
      <c r="BC85" s="28"/>
      <c r="BD85" s="28"/>
      <c r="BE85" s="28"/>
    </row>
    <row r="86" spans="1:57" s="9" customFormat="1" outlineLevel="1" x14ac:dyDescent="0.25">
      <c r="A86" s="277" t="s">
        <v>98</v>
      </c>
      <c r="B86" s="253">
        <v>40000</v>
      </c>
      <c r="C86" s="147"/>
      <c r="D86" s="253">
        <f t="shared" ref="D86:D95" si="41">B86*C86</f>
        <v>0</v>
      </c>
      <c r="E86" s="10"/>
      <c r="F86" s="157"/>
      <c r="G86" s="158"/>
      <c r="H86" s="158"/>
      <c r="I86" s="158"/>
      <c r="J86" s="158"/>
      <c r="K86" s="158"/>
      <c r="L86" s="268"/>
      <c r="M86" s="157"/>
      <c r="N86" s="158"/>
      <c r="O86" s="158"/>
      <c r="P86" s="158"/>
      <c r="Q86" s="158"/>
      <c r="R86" s="158"/>
      <c r="S86" s="268"/>
      <c r="T86" s="157"/>
      <c r="U86" s="158"/>
      <c r="V86" s="158"/>
      <c r="W86" s="158"/>
      <c r="X86" s="158"/>
      <c r="Y86" s="158"/>
      <c r="Z86" s="268"/>
      <c r="AA86" s="157"/>
      <c r="AB86" s="158"/>
      <c r="AC86" s="158"/>
      <c r="AD86" s="158"/>
      <c r="AE86" s="158"/>
      <c r="AF86" s="158"/>
      <c r="AG86" s="268"/>
      <c r="AH86" s="26"/>
      <c r="AI86" s="27"/>
      <c r="AJ86" s="27"/>
      <c r="AK86" s="28"/>
      <c r="AL86" s="28"/>
      <c r="AM86" s="28"/>
      <c r="AN86" s="28"/>
      <c r="AO86" s="28"/>
      <c r="AP86" s="28"/>
      <c r="AQ86" s="28"/>
      <c r="AR86" s="28"/>
      <c r="AS86" s="28"/>
      <c r="AT86" s="28"/>
      <c r="AU86" s="28"/>
      <c r="AV86" s="28"/>
      <c r="AW86" s="28"/>
      <c r="AX86" s="28"/>
      <c r="AY86" s="28"/>
      <c r="AZ86" s="28"/>
      <c r="BA86" s="28"/>
      <c r="BB86" s="28"/>
      <c r="BC86" s="28"/>
      <c r="BD86" s="28"/>
      <c r="BE86" s="28"/>
    </row>
    <row r="87" spans="1:57" s="9" customFormat="1" outlineLevel="1" x14ac:dyDescent="0.25">
      <c r="A87" s="277" t="s">
        <v>99</v>
      </c>
      <c r="B87" s="253">
        <v>80000</v>
      </c>
      <c r="C87" s="147"/>
      <c r="D87" s="253">
        <f t="shared" si="41"/>
        <v>0</v>
      </c>
      <c r="E87" s="10"/>
      <c r="F87" s="157"/>
      <c r="G87" s="158"/>
      <c r="H87" s="158"/>
      <c r="I87" s="158"/>
      <c r="J87" s="158"/>
      <c r="K87" s="158"/>
      <c r="L87" s="268"/>
      <c r="M87" s="157"/>
      <c r="N87" s="158"/>
      <c r="O87" s="158"/>
      <c r="P87" s="158"/>
      <c r="Q87" s="158"/>
      <c r="R87" s="158"/>
      <c r="S87" s="268"/>
      <c r="T87" s="157"/>
      <c r="U87" s="158"/>
      <c r="V87" s="158"/>
      <c r="W87" s="158"/>
      <c r="X87" s="158"/>
      <c r="Y87" s="158"/>
      <c r="Z87" s="268"/>
      <c r="AA87" s="157"/>
      <c r="AB87" s="158"/>
      <c r="AC87" s="158"/>
      <c r="AD87" s="158"/>
      <c r="AE87" s="158"/>
      <c r="AF87" s="158"/>
      <c r="AG87" s="268"/>
      <c r="AH87" s="26"/>
      <c r="AI87" s="27"/>
      <c r="AJ87" s="27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  <c r="AV87" s="28"/>
      <c r="AW87" s="28"/>
      <c r="AX87" s="28"/>
      <c r="AY87" s="28"/>
      <c r="AZ87" s="28"/>
      <c r="BA87" s="28"/>
      <c r="BB87" s="28"/>
      <c r="BC87" s="28"/>
      <c r="BD87" s="28"/>
      <c r="BE87" s="28"/>
    </row>
    <row r="88" spans="1:57" s="9" customFormat="1" outlineLevel="1" x14ac:dyDescent="0.25">
      <c r="A88" s="277" t="s">
        <v>100</v>
      </c>
      <c r="B88" s="253">
        <v>155000</v>
      </c>
      <c r="C88" s="147"/>
      <c r="D88" s="253">
        <f t="shared" si="41"/>
        <v>0</v>
      </c>
      <c r="E88" s="10"/>
      <c r="F88" s="157"/>
      <c r="G88" s="158"/>
      <c r="H88" s="158"/>
      <c r="I88" s="158"/>
      <c r="J88" s="158"/>
      <c r="K88" s="158"/>
      <c r="L88" s="268"/>
      <c r="M88" s="157"/>
      <c r="N88" s="158"/>
      <c r="O88" s="158"/>
      <c r="P88" s="158"/>
      <c r="Q88" s="158"/>
      <c r="R88" s="158"/>
      <c r="S88" s="268"/>
      <c r="T88" s="157"/>
      <c r="U88" s="158"/>
      <c r="V88" s="158"/>
      <c r="W88" s="158"/>
      <c r="X88" s="158"/>
      <c r="Y88" s="158"/>
      <c r="Z88" s="268"/>
      <c r="AA88" s="157"/>
      <c r="AB88" s="158"/>
      <c r="AC88" s="158"/>
      <c r="AD88" s="158"/>
      <c r="AE88" s="158"/>
      <c r="AF88" s="158"/>
      <c r="AG88" s="268"/>
      <c r="AH88" s="26"/>
      <c r="AI88" s="27"/>
      <c r="AJ88" s="27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  <c r="AV88" s="28"/>
      <c r="AW88" s="28"/>
      <c r="AX88" s="28"/>
      <c r="AY88" s="28"/>
      <c r="AZ88" s="28"/>
      <c r="BA88" s="28"/>
      <c r="BB88" s="28"/>
      <c r="BC88" s="28"/>
      <c r="BD88" s="28"/>
      <c r="BE88" s="28"/>
    </row>
    <row r="89" spans="1:57" s="9" customFormat="1" outlineLevel="1" x14ac:dyDescent="0.25">
      <c r="A89" s="277" t="s">
        <v>101</v>
      </c>
      <c r="B89" s="253">
        <v>195000</v>
      </c>
      <c r="C89" s="147"/>
      <c r="D89" s="253">
        <f t="shared" si="41"/>
        <v>0</v>
      </c>
      <c r="E89" s="10"/>
      <c r="F89" s="157"/>
      <c r="G89" s="158"/>
      <c r="H89" s="158"/>
      <c r="I89" s="158"/>
      <c r="J89" s="158"/>
      <c r="K89" s="158"/>
      <c r="L89" s="268"/>
      <c r="M89" s="157"/>
      <c r="N89" s="158"/>
      <c r="O89" s="158"/>
      <c r="P89" s="158"/>
      <c r="Q89" s="158"/>
      <c r="R89" s="158"/>
      <c r="S89" s="268"/>
      <c r="T89" s="157"/>
      <c r="U89" s="158"/>
      <c r="V89" s="158"/>
      <c r="W89" s="158"/>
      <c r="X89" s="158"/>
      <c r="Y89" s="158"/>
      <c r="Z89" s="268"/>
      <c r="AA89" s="157"/>
      <c r="AB89" s="158"/>
      <c r="AC89" s="158"/>
      <c r="AD89" s="158"/>
      <c r="AE89" s="158"/>
      <c r="AF89" s="158"/>
      <c r="AG89" s="268"/>
      <c r="AH89" s="26"/>
      <c r="AI89" s="27"/>
      <c r="AJ89" s="27"/>
      <c r="AK89" s="28"/>
      <c r="AL89" s="28"/>
      <c r="AM89" s="28"/>
      <c r="AN89" s="28"/>
      <c r="AO89" s="28"/>
      <c r="AP89" s="28"/>
      <c r="AQ89" s="28"/>
      <c r="AR89" s="28"/>
      <c r="AS89" s="28"/>
      <c r="AT89" s="28"/>
      <c r="AU89" s="28"/>
      <c r="AV89" s="28"/>
      <c r="AW89" s="28"/>
      <c r="AX89" s="28"/>
      <c r="AY89" s="28"/>
      <c r="AZ89" s="28"/>
      <c r="BA89" s="28"/>
      <c r="BB89" s="28"/>
      <c r="BC89" s="28"/>
      <c r="BD89" s="28"/>
      <c r="BE89" s="28"/>
    </row>
    <row r="90" spans="1:57" s="9" customFormat="1" outlineLevel="1" x14ac:dyDescent="0.25">
      <c r="A90" s="275" t="s">
        <v>30</v>
      </c>
      <c r="B90" s="253">
        <v>40000</v>
      </c>
      <c r="C90" s="147"/>
      <c r="D90" s="253">
        <f t="shared" si="41"/>
        <v>0</v>
      </c>
      <c r="E90" s="10"/>
      <c r="F90" s="157"/>
      <c r="G90" s="158"/>
      <c r="H90" s="158"/>
      <c r="I90" s="158"/>
      <c r="J90" s="158"/>
      <c r="K90" s="158"/>
      <c r="L90" s="268"/>
      <c r="M90" s="157"/>
      <c r="N90" s="158"/>
      <c r="O90" s="158"/>
      <c r="P90" s="158"/>
      <c r="Q90" s="158"/>
      <c r="R90" s="158"/>
      <c r="S90" s="268"/>
      <c r="T90" s="157"/>
      <c r="U90" s="158"/>
      <c r="V90" s="158"/>
      <c r="W90" s="158"/>
      <c r="X90" s="158"/>
      <c r="Y90" s="158"/>
      <c r="Z90" s="268"/>
      <c r="AA90" s="157"/>
      <c r="AB90" s="158"/>
      <c r="AC90" s="158"/>
      <c r="AD90" s="158"/>
      <c r="AE90" s="158"/>
      <c r="AF90" s="158"/>
      <c r="AG90" s="268"/>
      <c r="AH90" s="26"/>
      <c r="AI90" s="27"/>
      <c r="AJ90" s="27"/>
      <c r="AK90" s="28"/>
      <c r="AL90" s="28"/>
      <c r="AM90" s="28"/>
      <c r="AN90" s="28"/>
      <c r="AO90" s="28"/>
      <c r="AP90" s="28"/>
      <c r="AQ90" s="28"/>
      <c r="AR90" s="28"/>
      <c r="AS90" s="28"/>
      <c r="AT90" s="28"/>
      <c r="AU90" s="28"/>
      <c r="AV90" s="28"/>
      <c r="AW90" s="28"/>
      <c r="AX90" s="28"/>
      <c r="AY90" s="28"/>
      <c r="AZ90" s="28"/>
      <c r="BA90" s="28"/>
      <c r="BB90" s="28"/>
      <c r="BC90" s="28"/>
      <c r="BD90" s="28"/>
      <c r="BE90" s="28"/>
    </row>
    <row r="91" spans="1:57" s="9" customFormat="1" ht="30" outlineLevel="2" x14ac:dyDescent="0.25">
      <c r="A91" s="278" t="s">
        <v>113</v>
      </c>
      <c r="B91" s="253">
        <v>4000</v>
      </c>
      <c r="C91" s="147"/>
      <c r="D91" s="253">
        <f t="shared" si="41"/>
        <v>0</v>
      </c>
      <c r="E91" s="10"/>
      <c r="F91" s="157"/>
      <c r="G91" s="158"/>
      <c r="H91" s="158"/>
      <c r="I91" s="158"/>
      <c r="J91" s="158"/>
      <c r="K91" s="158"/>
      <c r="L91" s="268"/>
      <c r="M91" s="157"/>
      <c r="N91" s="158"/>
      <c r="O91" s="158"/>
      <c r="P91" s="158"/>
      <c r="Q91" s="158"/>
      <c r="R91" s="158"/>
      <c r="S91" s="268"/>
      <c r="T91" s="157"/>
      <c r="U91" s="158"/>
      <c r="V91" s="158"/>
      <c r="W91" s="158"/>
      <c r="X91" s="158"/>
      <c r="Y91" s="158"/>
      <c r="Z91" s="268"/>
      <c r="AA91" s="157"/>
      <c r="AB91" s="158"/>
      <c r="AC91" s="158"/>
      <c r="AD91" s="158"/>
      <c r="AE91" s="158"/>
      <c r="AF91" s="158"/>
      <c r="AG91" s="268"/>
      <c r="AH91" s="26"/>
      <c r="AI91" s="27"/>
      <c r="AJ91" s="27"/>
      <c r="AK91" s="28"/>
      <c r="AL91" s="28"/>
      <c r="AM91" s="28"/>
      <c r="AN91" s="28"/>
      <c r="AO91" s="28"/>
      <c r="AP91" s="28"/>
      <c r="AQ91" s="28"/>
      <c r="AR91" s="28"/>
      <c r="AS91" s="28"/>
      <c r="AT91" s="28"/>
      <c r="AU91" s="28"/>
      <c r="AV91" s="28"/>
      <c r="AW91" s="28"/>
      <c r="AX91" s="28"/>
      <c r="AY91" s="28"/>
      <c r="AZ91" s="28"/>
      <c r="BA91" s="28"/>
      <c r="BB91" s="28"/>
      <c r="BC91" s="28"/>
      <c r="BD91" s="28"/>
      <c r="BE91" s="28"/>
    </row>
    <row r="92" spans="1:57" s="9" customFormat="1" outlineLevel="1" x14ac:dyDescent="0.25">
      <c r="A92" s="278" t="s">
        <v>31</v>
      </c>
      <c r="B92" s="253">
        <v>55000</v>
      </c>
      <c r="C92" s="147"/>
      <c r="D92" s="253">
        <f t="shared" si="41"/>
        <v>0</v>
      </c>
      <c r="E92" s="10"/>
      <c r="F92" s="157"/>
      <c r="G92" s="158"/>
      <c r="H92" s="158"/>
      <c r="I92" s="158"/>
      <c r="J92" s="158"/>
      <c r="K92" s="158"/>
      <c r="L92" s="268"/>
      <c r="M92" s="157"/>
      <c r="N92" s="158"/>
      <c r="O92" s="158"/>
      <c r="P92" s="158"/>
      <c r="Q92" s="158"/>
      <c r="R92" s="158"/>
      <c r="S92" s="268"/>
      <c r="T92" s="157"/>
      <c r="U92" s="158"/>
      <c r="V92" s="158"/>
      <c r="W92" s="158"/>
      <c r="X92" s="158"/>
      <c r="Y92" s="158"/>
      <c r="Z92" s="268"/>
      <c r="AA92" s="157"/>
      <c r="AB92" s="158"/>
      <c r="AC92" s="158"/>
      <c r="AD92" s="158"/>
      <c r="AE92" s="158"/>
      <c r="AF92" s="158"/>
      <c r="AG92" s="268"/>
      <c r="AH92" s="26"/>
      <c r="AI92" s="27"/>
      <c r="AJ92" s="27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  <c r="AW92" s="28"/>
      <c r="AX92" s="28"/>
      <c r="AY92" s="28"/>
      <c r="AZ92" s="28"/>
      <c r="BA92" s="28"/>
      <c r="BB92" s="28"/>
      <c r="BC92" s="28"/>
      <c r="BD92" s="28"/>
      <c r="BE92" s="28"/>
    </row>
    <row r="93" spans="1:57" s="9" customFormat="1" ht="30" outlineLevel="2" x14ac:dyDescent="0.25">
      <c r="A93" s="278" t="s">
        <v>113</v>
      </c>
      <c r="B93" s="253">
        <v>5000</v>
      </c>
      <c r="C93" s="147"/>
      <c r="D93" s="253">
        <f t="shared" si="41"/>
        <v>0</v>
      </c>
      <c r="E93" s="10"/>
      <c r="F93" s="157"/>
      <c r="G93" s="158"/>
      <c r="H93" s="158"/>
      <c r="I93" s="158"/>
      <c r="J93" s="158"/>
      <c r="K93" s="158"/>
      <c r="L93" s="268"/>
      <c r="M93" s="157"/>
      <c r="N93" s="158"/>
      <c r="O93" s="158"/>
      <c r="P93" s="158"/>
      <c r="Q93" s="158"/>
      <c r="R93" s="158"/>
      <c r="S93" s="268"/>
      <c r="T93" s="157"/>
      <c r="U93" s="158"/>
      <c r="V93" s="158"/>
      <c r="W93" s="158"/>
      <c r="X93" s="158"/>
      <c r="Y93" s="158"/>
      <c r="Z93" s="268"/>
      <c r="AA93" s="157"/>
      <c r="AB93" s="158"/>
      <c r="AC93" s="158"/>
      <c r="AD93" s="158"/>
      <c r="AE93" s="158"/>
      <c r="AF93" s="158"/>
      <c r="AG93" s="268"/>
      <c r="AH93" s="26"/>
      <c r="AI93" s="27"/>
      <c r="AJ93" s="27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  <c r="AW93" s="28"/>
      <c r="AX93" s="28"/>
      <c r="AY93" s="28"/>
      <c r="AZ93" s="28"/>
      <c r="BA93" s="28"/>
      <c r="BB93" s="28"/>
      <c r="BC93" s="28"/>
      <c r="BD93" s="28"/>
      <c r="BE93" s="28"/>
    </row>
    <row r="94" spans="1:57" s="9" customFormat="1" outlineLevel="1" x14ac:dyDescent="0.25">
      <c r="A94" s="278" t="s">
        <v>94</v>
      </c>
      <c r="B94" s="253">
        <v>75000</v>
      </c>
      <c r="C94" s="147"/>
      <c r="D94" s="253">
        <f t="shared" si="41"/>
        <v>0</v>
      </c>
      <c r="E94" s="10"/>
      <c r="F94" s="157"/>
      <c r="G94" s="158"/>
      <c r="H94" s="158"/>
      <c r="I94" s="158"/>
      <c r="J94" s="158"/>
      <c r="K94" s="158"/>
      <c r="L94" s="268"/>
      <c r="M94" s="157"/>
      <c r="N94" s="158"/>
      <c r="O94" s="158"/>
      <c r="P94" s="158"/>
      <c r="Q94" s="158"/>
      <c r="R94" s="158"/>
      <c r="S94" s="268"/>
      <c r="T94" s="157"/>
      <c r="U94" s="158"/>
      <c r="V94" s="158"/>
      <c r="W94" s="158"/>
      <c r="X94" s="158"/>
      <c r="Y94" s="158"/>
      <c r="Z94" s="268"/>
      <c r="AA94" s="157"/>
      <c r="AB94" s="158"/>
      <c r="AC94" s="158"/>
      <c r="AD94" s="158"/>
      <c r="AE94" s="158"/>
      <c r="AF94" s="158"/>
      <c r="AG94" s="268"/>
      <c r="AH94" s="26"/>
      <c r="AI94" s="27"/>
      <c r="AJ94" s="27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  <c r="AW94" s="28"/>
      <c r="AX94" s="28"/>
      <c r="AY94" s="28"/>
      <c r="AZ94" s="28"/>
      <c r="BA94" s="28"/>
      <c r="BB94" s="28"/>
      <c r="BC94" s="28"/>
      <c r="BD94" s="28"/>
      <c r="BE94" s="28"/>
    </row>
    <row r="95" spans="1:57" ht="30.75" outlineLevel="2" thickBot="1" x14ac:dyDescent="0.3">
      <c r="A95" s="278" t="s">
        <v>113</v>
      </c>
      <c r="B95" s="261">
        <v>6000</v>
      </c>
      <c r="C95" s="152"/>
      <c r="D95" s="261">
        <f t="shared" si="41"/>
        <v>0</v>
      </c>
      <c r="E95" s="23"/>
      <c r="F95" s="157"/>
      <c r="G95" s="158"/>
      <c r="H95" s="158"/>
      <c r="I95" s="158"/>
      <c r="J95" s="158"/>
      <c r="K95" s="158"/>
      <c r="L95" s="268"/>
      <c r="M95" s="157"/>
      <c r="N95" s="158"/>
      <c r="O95" s="158"/>
      <c r="P95" s="158"/>
      <c r="Q95" s="158"/>
      <c r="R95" s="158"/>
      <c r="S95" s="268"/>
      <c r="T95" s="157"/>
      <c r="U95" s="158"/>
      <c r="V95" s="158"/>
      <c r="W95" s="158"/>
      <c r="X95" s="158"/>
      <c r="Y95" s="158"/>
      <c r="Z95" s="268"/>
      <c r="AA95" s="157"/>
      <c r="AB95" s="158"/>
      <c r="AC95" s="158"/>
      <c r="AD95" s="158"/>
      <c r="AE95" s="158"/>
      <c r="AF95" s="158"/>
      <c r="AG95" s="268"/>
      <c r="AH95" s="29"/>
      <c r="AI95" s="30"/>
      <c r="AJ95" s="30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  <c r="AZ95" s="31"/>
      <c r="BA95" s="31"/>
      <c r="BB95" s="31"/>
      <c r="BC95" s="31"/>
      <c r="BD95" s="31"/>
      <c r="BE95" s="31"/>
    </row>
    <row r="96" spans="1:57" s="217" customFormat="1" ht="24" thickBot="1" x14ac:dyDescent="0.3">
      <c r="A96" s="198" t="s">
        <v>27</v>
      </c>
      <c r="B96" s="235"/>
      <c r="C96" s="236"/>
      <c r="D96" s="201">
        <f>SUM(D97:D119)</f>
        <v>0</v>
      </c>
      <c r="E96" s="237"/>
      <c r="F96" s="203" t="str">
        <f>IF(CONCATENATE(F97,F98,F99,F100,F101,F102,F103,F104,F105,F106,F107,F108,F109,F110,F111,F112,F113,F114,F115,F117,F116,F118,F119)&gt;" ","х"," ")</f>
        <v xml:space="preserve"> </v>
      </c>
      <c r="G96" s="204" t="str">
        <f t="shared" ref="G96:AG96" si="42">IF(CONCATENATE(G97,G98,G99,G100,G101,G102,G103,G104,G105,G106,G107,G108,G109,G110,G111,G112,G113,G114,G115,G117,G116,G118,G119)&gt;" ","х"," ")</f>
        <v xml:space="preserve"> </v>
      </c>
      <c r="H96" s="204" t="str">
        <f t="shared" si="42"/>
        <v xml:space="preserve"> </v>
      </c>
      <c r="I96" s="204" t="str">
        <f t="shared" si="42"/>
        <v xml:space="preserve"> </v>
      </c>
      <c r="J96" s="204" t="str">
        <f t="shared" si="42"/>
        <v xml:space="preserve"> </v>
      </c>
      <c r="K96" s="204" t="str">
        <f t="shared" si="42"/>
        <v xml:space="preserve"> </v>
      </c>
      <c r="L96" s="205" t="str">
        <f t="shared" si="42"/>
        <v xml:space="preserve"> </v>
      </c>
      <c r="M96" s="203" t="str">
        <f t="shared" si="42"/>
        <v xml:space="preserve"> </v>
      </c>
      <c r="N96" s="204" t="str">
        <f t="shared" si="42"/>
        <v xml:space="preserve"> </v>
      </c>
      <c r="O96" s="204" t="str">
        <f t="shared" si="42"/>
        <v xml:space="preserve"> </v>
      </c>
      <c r="P96" s="204" t="str">
        <f t="shared" si="42"/>
        <v xml:space="preserve"> </v>
      </c>
      <c r="Q96" s="204" t="str">
        <f t="shared" si="42"/>
        <v xml:space="preserve"> </v>
      </c>
      <c r="R96" s="204" t="str">
        <f t="shared" si="42"/>
        <v xml:space="preserve"> </v>
      </c>
      <c r="S96" s="205" t="str">
        <f t="shared" si="42"/>
        <v xml:space="preserve"> </v>
      </c>
      <c r="T96" s="203" t="str">
        <f t="shared" si="42"/>
        <v xml:space="preserve"> </v>
      </c>
      <c r="U96" s="204" t="str">
        <f t="shared" si="42"/>
        <v xml:space="preserve"> </v>
      </c>
      <c r="V96" s="204" t="str">
        <f t="shared" si="42"/>
        <v xml:space="preserve"> </v>
      </c>
      <c r="W96" s="204" t="str">
        <f t="shared" si="42"/>
        <v xml:space="preserve"> </v>
      </c>
      <c r="X96" s="204" t="str">
        <f t="shared" si="42"/>
        <v xml:space="preserve"> </v>
      </c>
      <c r="Y96" s="204" t="str">
        <f t="shared" si="42"/>
        <v xml:space="preserve"> </v>
      </c>
      <c r="Z96" s="205" t="str">
        <f t="shared" si="42"/>
        <v xml:space="preserve"> </v>
      </c>
      <c r="AA96" s="203" t="str">
        <f t="shared" si="42"/>
        <v xml:space="preserve"> </v>
      </c>
      <c r="AB96" s="204" t="str">
        <f t="shared" si="42"/>
        <v xml:space="preserve"> </v>
      </c>
      <c r="AC96" s="204" t="str">
        <f t="shared" si="42"/>
        <v xml:space="preserve"> </v>
      </c>
      <c r="AD96" s="204" t="str">
        <f t="shared" si="42"/>
        <v xml:space="preserve"> </v>
      </c>
      <c r="AE96" s="204" t="str">
        <f t="shared" si="42"/>
        <v xml:space="preserve"> </v>
      </c>
      <c r="AF96" s="204" t="str">
        <f t="shared" si="42"/>
        <v xml:space="preserve"> </v>
      </c>
      <c r="AG96" s="205" t="str">
        <f t="shared" si="42"/>
        <v xml:space="preserve"> </v>
      </c>
      <c r="AH96" s="215"/>
      <c r="AI96" s="216"/>
      <c r="AJ96" s="216"/>
    </row>
    <row r="97" spans="1:57" outlineLevel="1" x14ac:dyDescent="0.25">
      <c r="A97" s="281" t="s">
        <v>28</v>
      </c>
      <c r="B97" s="257">
        <v>22600</v>
      </c>
      <c r="C97" s="150"/>
      <c r="D97" s="257">
        <f>B97*C97</f>
        <v>0</v>
      </c>
      <c r="E97" s="21"/>
      <c r="F97" s="157"/>
      <c r="G97" s="158"/>
      <c r="H97" s="158"/>
      <c r="I97" s="158"/>
      <c r="J97" s="158"/>
      <c r="K97" s="158"/>
      <c r="L97" s="268"/>
      <c r="M97" s="157"/>
      <c r="N97" s="158"/>
      <c r="O97" s="158"/>
      <c r="P97" s="158"/>
      <c r="Q97" s="158"/>
      <c r="R97" s="158"/>
      <c r="S97" s="268"/>
      <c r="T97" s="157"/>
      <c r="U97" s="158"/>
      <c r="V97" s="158"/>
      <c r="W97" s="158"/>
      <c r="X97" s="158"/>
      <c r="Y97" s="158"/>
      <c r="Z97" s="268"/>
      <c r="AA97" s="157"/>
      <c r="AB97" s="158"/>
      <c r="AC97" s="158"/>
      <c r="AD97" s="158"/>
      <c r="AE97" s="158"/>
      <c r="AF97" s="158"/>
      <c r="AG97" s="268"/>
      <c r="AH97" s="29"/>
      <c r="AI97" s="30"/>
      <c r="AJ97" s="30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  <c r="AZ97" s="31"/>
      <c r="BA97" s="31"/>
      <c r="BB97" s="31"/>
      <c r="BC97" s="31"/>
      <c r="BD97" s="31"/>
      <c r="BE97" s="31"/>
    </row>
    <row r="98" spans="1:57" outlineLevel="1" x14ac:dyDescent="0.25">
      <c r="A98" s="282" t="s">
        <v>43</v>
      </c>
      <c r="B98" s="258">
        <v>27300</v>
      </c>
      <c r="C98" s="150"/>
      <c r="D98" s="258">
        <f t="shared" ref="D98:D119" si="43">B98*C98</f>
        <v>0</v>
      </c>
      <c r="E98" s="11"/>
      <c r="F98" s="157"/>
      <c r="G98" s="158"/>
      <c r="H98" s="158"/>
      <c r="I98" s="158"/>
      <c r="J98" s="158"/>
      <c r="K98" s="158"/>
      <c r="L98" s="268"/>
      <c r="M98" s="157"/>
      <c r="N98" s="158"/>
      <c r="O98" s="158"/>
      <c r="P98" s="158"/>
      <c r="Q98" s="158"/>
      <c r="R98" s="158"/>
      <c r="S98" s="268"/>
      <c r="T98" s="157"/>
      <c r="U98" s="158"/>
      <c r="V98" s="158"/>
      <c r="W98" s="158"/>
      <c r="X98" s="158"/>
      <c r="Y98" s="158"/>
      <c r="Z98" s="268"/>
      <c r="AA98" s="157"/>
      <c r="AB98" s="158"/>
      <c r="AC98" s="158"/>
      <c r="AD98" s="158"/>
      <c r="AE98" s="158"/>
      <c r="AF98" s="158"/>
      <c r="AG98" s="268"/>
      <c r="AH98" s="29"/>
      <c r="AI98" s="30"/>
      <c r="AJ98" s="30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</row>
    <row r="99" spans="1:57" outlineLevel="1" x14ac:dyDescent="0.25">
      <c r="A99" s="282" t="s">
        <v>44</v>
      </c>
      <c r="B99" s="258">
        <v>6300</v>
      </c>
      <c r="C99" s="150"/>
      <c r="D99" s="258">
        <f t="shared" si="43"/>
        <v>0</v>
      </c>
      <c r="E99" s="11"/>
      <c r="F99" s="157"/>
      <c r="G99" s="158"/>
      <c r="H99" s="158"/>
      <c r="I99" s="158"/>
      <c r="J99" s="158"/>
      <c r="K99" s="158"/>
      <c r="L99" s="268"/>
      <c r="M99" s="157"/>
      <c r="N99" s="158"/>
      <c r="O99" s="158"/>
      <c r="P99" s="158"/>
      <c r="Q99" s="158"/>
      <c r="R99" s="158"/>
      <c r="S99" s="268"/>
      <c r="T99" s="157"/>
      <c r="U99" s="158"/>
      <c r="V99" s="158"/>
      <c r="W99" s="158"/>
      <c r="X99" s="158"/>
      <c r="Y99" s="158"/>
      <c r="Z99" s="268"/>
      <c r="AA99" s="157"/>
      <c r="AB99" s="158"/>
      <c r="AC99" s="158"/>
      <c r="AD99" s="158"/>
      <c r="AE99" s="158"/>
      <c r="AF99" s="158"/>
      <c r="AG99" s="268"/>
      <c r="AH99" s="29"/>
      <c r="AI99" s="30"/>
      <c r="AJ99" s="30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  <c r="AZ99" s="31"/>
      <c r="BA99" s="31"/>
      <c r="BB99" s="31"/>
      <c r="BC99" s="31"/>
      <c r="BD99" s="31"/>
      <c r="BE99" s="31"/>
    </row>
    <row r="100" spans="1:57" outlineLevel="1" x14ac:dyDescent="0.25">
      <c r="A100" s="282" t="s">
        <v>45</v>
      </c>
      <c r="B100" s="258">
        <v>8200</v>
      </c>
      <c r="C100" s="150"/>
      <c r="D100" s="258">
        <f t="shared" si="43"/>
        <v>0</v>
      </c>
      <c r="E100" s="11"/>
      <c r="F100" s="157"/>
      <c r="G100" s="158"/>
      <c r="H100" s="158"/>
      <c r="I100" s="158"/>
      <c r="J100" s="158"/>
      <c r="K100" s="158"/>
      <c r="L100" s="268"/>
      <c r="M100" s="157"/>
      <c r="N100" s="158"/>
      <c r="O100" s="158"/>
      <c r="P100" s="158"/>
      <c r="Q100" s="158"/>
      <c r="R100" s="158"/>
      <c r="S100" s="268"/>
      <c r="T100" s="157"/>
      <c r="U100" s="158"/>
      <c r="V100" s="158"/>
      <c r="W100" s="158"/>
      <c r="X100" s="158"/>
      <c r="Y100" s="158"/>
      <c r="Z100" s="268"/>
      <c r="AA100" s="157"/>
      <c r="AB100" s="158"/>
      <c r="AC100" s="158"/>
      <c r="AD100" s="158"/>
      <c r="AE100" s="158"/>
      <c r="AF100" s="158"/>
      <c r="AG100" s="268"/>
      <c r="AH100" s="29"/>
      <c r="AI100" s="30"/>
      <c r="AJ100" s="30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  <c r="AZ100" s="31"/>
      <c r="BA100" s="31"/>
      <c r="BB100" s="31"/>
      <c r="BC100" s="31"/>
      <c r="BD100" s="31"/>
      <c r="BE100" s="31"/>
    </row>
    <row r="101" spans="1:57" outlineLevel="1" x14ac:dyDescent="0.25">
      <c r="A101" s="282" t="s">
        <v>46</v>
      </c>
      <c r="B101" s="258">
        <v>41400</v>
      </c>
      <c r="C101" s="150"/>
      <c r="D101" s="258">
        <f t="shared" si="43"/>
        <v>0</v>
      </c>
      <c r="E101" s="11"/>
      <c r="F101" s="157"/>
      <c r="G101" s="158"/>
      <c r="H101" s="158"/>
      <c r="I101" s="158"/>
      <c r="J101" s="158"/>
      <c r="K101" s="158"/>
      <c r="L101" s="268"/>
      <c r="M101" s="157"/>
      <c r="N101" s="158"/>
      <c r="O101" s="158"/>
      <c r="P101" s="158"/>
      <c r="Q101" s="158"/>
      <c r="R101" s="158"/>
      <c r="S101" s="268"/>
      <c r="T101" s="157"/>
      <c r="U101" s="158"/>
      <c r="V101" s="158"/>
      <c r="W101" s="158"/>
      <c r="X101" s="158"/>
      <c r="Y101" s="158"/>
      <c r="Z101" s="268"/>
      <c r="AA101" s="157"/>
      <c r="AB101" s="158"/>
      <c r="AC101" s="158"/>
      <c r="AD101" s="158"/>
      <c r="AE101" s="158"/>
      <c r="AF101" s="158"/>
      <c r="AG101" s="268"/>
      <c r="AH101" s="29"/>
      <c r="AI101" s="30"/>
      <c r="AJ101" s="30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  <c r="AZ101" s="31"/>
      <c r="BA101" s="31"/>
      <c r="BB101" s="31"/>
      <c r="BC101" s="31"/>
      <c r="BD101" s="31"/>
      <c r="BE101" s="31"/>
    </row>
    <row r="102" spans="1:57" outlineLevel="1" x14ac:dyDescent="0.25">
      <c r="A102" s="282" t="s">
        <v>47</v>
      </c>
      <c r="B102" s="258">
        <v>51900</v>
      </c>
      <c r="C102" s="150"/>
      <c r="D102" s="258">
        <f t="shared" si="43"/>
        <v>0</v>
      </c>
      <c r="E102" s="11"/>
      <c r="F102" s="157"/>
      <c r="G102" s="158"/>
      <c r="H102" s="158"/>
      <c r="I102" s="158"/>
      <c r="J102" s="158"/>
      <c r="K102" s="158"/>
      <c r="L102" s="268"/>
      <c r="M102" s="157"/>
      <c r="N102" s="158"/>
      <c r="O102" s="158"/>
      <c r="P102" s="158"/>
      <c r="Q102" s="158"/>
      <c r="R102" s="158"/>
      <c r="S102" s="268"/>
      <c r="T102" s="157"/>
      <c r="U102" s="158"/>
      <c r="V102" s="158"/>
      <c r="W102" s="158"/>
      <c r="X102" s="158"/>
      <c r="Y102" s="158"/>
      <c r="Z102" s="268"/>
      <c r="AA102" s="157"/>
      <c r="AB102" s="158"/>
      <c r="AC102" s="158"/>
      <c r="AD102" s="158"/>
      <c r="AE102" s="158"/>
      <c r="AF102" s="158"/>
      <c r="AG102" s="268"/>
      <c r="AH102" s="29"/>
      <c r="AI102" s="30"/>
      <c r="AJ102" s="30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  <c r="AZ102" s="31"/>
      <c r="BA102" s="31"/>
      <c r="BB102" s="31"/>
      <c r="BC102" s="31"/>
      <c r="BD102" s="31"/>
      <c r="BE102" s="31"/>
    </row>
    <row r="103" spans="1:57" outlineLevel="1" x14ac:dyDescent="0.25">
      <c r="A103" s="282" t="s">
        <v>48</v>
      </c>
      <c r="B103" s="258">
        <v>78000</v>
      </c>
      <c r="C103" s="150"/>
      <c r="D103" s="258">
        <f t="shared" si="43"/>
        <v>0</v>
      </c>
      <c r="E103" s="11"/>
      <c r="F103" s="157"/>
      <c r="G103" s="158"/>
      <c r="H103" s="158"/>
      <c r="I103" s="158"/>
      <c r="J103" s="158"/>
      <c r="K103" s="158"/>
      <c r="L103" s="268"/>
      <c r="M103" s="157"/>
      <c r="N103" s="158"/>
      <c r="O103" s="158"/>
      <c r="P103" s="158"/>
      <c r="Q103" s="158"/>
      <c r="R103" s="158"/>
      <c r="S103" s="268"/>
      <c r="T103" s="157"/>
      <c r="U103" s="158"/>
      <c r="V103" s="158"/>
      <c r="W103" s="158"/>
      <c r="X103" s="158"/>
      <c r="Y103" s="158"/>
      <c r="Z103" s="268"/>
      <c r="AA103" s="157"/>
      <c r="AB103" s="158"/>
      <c r="AC103" s="158"/>
      <c r="AD103" s="158"/>
      <c r="AE103" s="158"/>
      <c r="AF103" s="158"/>
      <c r="AG103" s="268"/>
      <c r="AH103" s="29"/>
      <c r="AI103" s="30"/>
      <c r="AJ103" s="30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</row>
    <row r="104" spans="1:57" outlineLevel="1" x14ac:dyDescent="0.25">
      <c r="A104" s="282" t="s">
        <v>49</v>
      </c>
      <c r="B104" s="258">
        <v>97600</v>
      </c>
      <c r="C104" s="150"/>
      <c r="D104" s="258">
        <f t="shared" si="43"/>
        <v>0</v>
      </c>
      <c r="E104" s="11"/>
      <c r="F104" s="157"/>
      <c r="G104" s="158"/>
      <c r="H104" s="158"/>
      <c r="I104" s="158"/>
      <c r="J104" s="158"/>
      <c r="K104" s="158"/>
      <c r="L104" s="268"/>
      <c r="M104" s="157"/>
      <c r="N104" s="158"/>
      <c r="O104" s="158"/>
      <c r="P104" s="158"/>
      <c r="Q104" s="158"/>
      <c r="R104" s="158"/>
      <c r="S104" s="268"/>
      <c r="T104" s="157"/>
      <c r="U104" s="158"/>
      <c r="V104" s="158"/>
      <c r="W104" s="158"/>
      <c r="X104" s="158"/>
      <c r="Y104" s="158"/>
      <c r="Z104" s="268"/>
      <c r="AA104" s="157"/>
      <c r="AB104" s="158"/>
      <c r="AC104" s="158"/>
      <c r="AD104" s="158"/>
      <c r="AE104" s="158"/>
      <c r="AF104" s="158"/>
      <c r="AG104" s="268"/>
      <c r="AH104" s="29"/>
      <c r="AI104" s="30"/>
      <c r="AJ104" s="30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</row>
    <row r="105" spans="1:57" outlineLevel="1" x14ac:dyDescent="0.25">
      <c r="A105" s="282" t="s">
        <v>50</v>
      </c>
      <c r="B105" s="258">
        <v>21600</v>
      </c>
      <c r="C105" s="150"/>
      <c r="D105" s="258">
        <f t="shared" si="43"/>
        <v>0</v>
      </c>
      <c r="E105" s="11"/>
      <c r="F105" s="157"/>
      <c r="G105" s="158"/>
      <c r="H105" s="158"/>
      <c r="I105" s="158"/>
      <c r="J105" s="158"/>
      <c r="K105" s="158"/>
      <c r="L105" s="268"/>
      <c r="M105" s="157"/>
      <c r="N105" s="158"/>
      <c r="O105" s="158"/>
      <c r="P105" s="158"/>
      <c r="Q105" s="158"/>
      <c r="R105" s="158"/>
      <c r="S105" s="268"/>
      <c r="T105" s="157"/>
      <c r="U105" s="158"/>
      <c r="V105" s="158"/>
      <c r="W105" s="158"/>
      <c r="X105" s="158"/>
      <c r="Y105" s="158"/>
      <c r="Z105" s="268"/>
      <c r="AA105" s="157"/>
      <c r="AB105" s="158"/>
      <c r="AC105" s="158"/>
      <c r="AD105" s="158"/>
      <c r="AE105" s="158"/>
      <c r="AF105" s="158"/>
      <c r="AG105" s="268"/>
      <c r="AH105" s="29"/>
      <c r="AI105" s="30"/>
      <c r="AJ105" s="30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  <c r="AZ105" s="31"/>
      <c r="BA105" s="31"/>
      <c r="BB105" s="31"/>
      <c r="BC105" s="31"/>
      <c r="BD105" s="31"/>
      <c r="BE105" s="31"/>
    </row>
    <row r="106" spans="1:57" outlineLevel="1" x14ac:dyDescent="0.25">
      <c r="A106" s="282" t="s">
        <v>51</v>
      </c>
      <c r="B106" s="258">
        <v>28100</v>
      </c>
      <c r="C106" s="150"/>
      <c r="D106" s="258">
        <f t="shared" si="43"/>
        <v>0</v>
      </c>
      <c r="E106" s="11"/>
      <c r="F106" s="157"/>
      <c r="G106" s="158"/>
      <c r="H106" s="158"/>
      <c r="I106" s="158"/>
      <c r="J106" s="158"/>
      <c r="K106" s="158"/>
      <c r="L106" s="268"/>
      <c r="M106" s="157"/>
      <c r="N106" s="158"/>
      <c r="O106" s="158"/>
      <c r="P106" s="158"/>
      <c r="Q106" s="158"/>
      <c r="R106" s="158"/>
      <c r="S106" s="268"/>
      <c r="T106" s="157"/>
      <c r="U106" s="158"/>
      <c r="V106" s="158"/>
      <c r="W106" s="158"/>
      <c r="X106" s="158"/>
      <c r="Y106" s="158"/>
      <c r="Z106" s="268"/>
      <c r="AA106" s="157"/>
      <c r="AB106" s="158"/>
      <c r="AC106" s="158"/>
      <c r="AD106" s="158"/>
      <c r="AE106" s="158"/>
      <c r="AF106" s="158"/>
      <c r="AG106" s="268"/>
      <c r="AH106" s="29"/>
      <c r="AI106" s="30"/>
      <c r="AJ106" s="30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</row>
    <row r="107" spans="1:57" outlineLevel="1" x14ac:dyDescent="0.25">
      <c r="A107" s="282" t="s">
        <v>52</v>
      </c>
      <c r="B107" s="258">
        <v>187200</v>
      </c>
      <c r="C107" s="150"/>
      <c r="D107" s="258">
        <f t="shared" si="43"/>
        <v>0</v>
      </c>
      <c r="E107" s="11"/>
      <c r="F107" s="157"/>
      <c r="G107" s="158"/>
      <c r="H107" s="158"/>
      <c r="I107" s="158"/>
      <c r="J107" s="158"/>
      <c r="K107" s="158"/>
      <c r="L107" s="268"/>
      <c r="M107" s="157"/>
      <c r="N107" s="158"/>
      <c r="O107" s="158"/>
      <c r="P107" s="158"/>
      <c r="Q107" s="158"/>
      <c r="R107" s="158"/>
      <c r="S107" s="268"/>
      <c r="T107" s="157"/>
      <c r="U107" s="158"/>
      <c r="V107" s="158"/>
      <c r="W107" s="158"/>
      <c r="X107" s="158"/>
      <c r="Y107" s="158"/>
      <c r="Z107" s="268"/>
      <c r="AA107" s="157"/>
      <c r="AB107" s="158"/>
      <c r="AC107" s="158"/>
      <c r="AD107" s="158"/>
      <c r="AE107" s="158"/>
      <c r="AF107" s="158"/>
      <c r="AG107" s="268"/>
      <c r="AH107" s="29"/>
      <c r="AI107" s="30"/>
      <c r="AJ107" s="30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  <c r="AZ107" s="31"/>
      <c r="BA107" s="31"/>
      <c r="BB107" s="31"/>
      <c r="BC107" s="31"/>
      <c r="BD107" s="31"/>
      <c r="BE107" s="31"/>
    </row>
    <row r="108" spans="1:57" outlineLevel="1" x14ac:dyDescent="0.25">
      <c r="A108" s="282" t="s">
        <v>53</v>
      </c>
      <c r="B108" s="258">
        <v>224700</v>
      </c>
      <c r="C108" s="150"/>
      <c r="D108" s="258">
        <f t="shared" si="43"/>
        <v>0</v>
      </c>
      <c r="E108" s="11"/>
      <c r="F108" s="157"/>
      <c r="G108" s="158"/>
      <c r="H108" s="158"/>
      <c r="I108" s="158"/>
      <c r="J108" s="158"/>
      <c r="K108" s="158"/>
      <c r="L108" s="268"/>
      <c r="M108" s="157"/>
      <c r="N108" s="158"/>
      <c r="O108" s="158"/>
      <c r="P108" s="158"/>
      <c r="Q108" s="158"/>
      <c r="R108" s="158"/>
      <c r="S108" s="268"/>
      <c r="T108" s="157"/>
      <c r="U108" s="158"/>
      <c r="V108" s="158"/>
      <c r="W108" s="158"/>
      <c r="X108" s="158"/>
      <c r="Y108" s="158"/>
      <c r="Z108" s="268"/>
      <c r="AA108" s="157"/>
      <c r="AB108" s="158"/>
      <c r="AC108" s="158"/>
      <c r="AD108" s="158"/>
      <c r="AE108" s="158"/>
      <c r="AF108" s="158"/>
      <c r="AG108" s="268"/>
      <c r="AH108" s="29"/>
      <c r="AI108" s="30"/>
      <c r="AJ108" s="30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  <c r="AZ108" s="31"/>
      <c r="BA108" s="31"/>
      <c r="BB108" s="31"/>
      <c r="BC108" s="31"/>
      <c r="BD108" s="31"/>
      <c r="BE108" s="31"/>
    </row>
    <row r="109" spans="1:57" outlineLevel="1" x14ac:dyDescent="0.25">
      <c r="A109" s="282" t="s">
        <v>54</v>
      </c>
      <c r="B109" s="258">
        <v>86400</v>
      </c>
      <c r="C109" s="150"/>
      <c r="D109" s="258">
        <f t="shared" si="43"/>
        <v>0</v>
      </c>
      <c r="E109" s="11"/>
      <c r="F109" s="157"/>
      <c r="G109" s="158"/>
      <c r="H109" s="158"/>
      <c r="I109" s="158"/>
      <c r="J109" s="158"/>
      <c r="K109" s="158"/>
      <c r="L109" s="268"/>
      <c r="M109" s="157"/>
      <c r="N109" s="158"/>
      <c r="O109" s="158"/>
      <c r="P109" s="158"/>
      <c r="Q109" s="158"/>
      <c r="R109" s="158"/>
      <c r="S109" s="268"/>
      <c r="T109" s="157"/>
      <c r="U109" s="158"/>
      <c r="V109" s="158"/>
      <c r="W109" s="158"/>
      <c r="X109" s="158"/>
      <c r="Y109" s="158"/>
      <c r="Z109" s="268"/>
      <c r="AA109" s="157"/>
      <c r="AB109" s="158"/>
      <c r="AC109" s="158"/>
      <c r="AD109" s="158"/>
      <c r="AE109" s="158"/>
      <c r="AF109" s="158"/>
      <c r="AG109" s="268"/>
      <c r="AH109" s="29"/>
      <c r="AI109" s="30"/>
      <c r="AJ109" s="30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  <c r="AZ109" s="31"/>
      <c r="BA109" s="31"/>
      <c r="BB109" s="31"/>
      <c r="BC109" s="31"/>
      <c r="BD109" s="31"/>
      <c r="BE109" s="31"/>
    </row>
    <row r="110" spans="1:57" outlineLevel="1" x14ac:dyDescent="0.25">
      <c r="A110" s="282" t="s">
        <v>55</v>
      </c>
      <c r="B110" s="258">
        <v>103700</v>
      </c>
      <c r="C110" s="150"/>
      <c r="D110" s="258">
        <f t="shared" si="43"/>
        <v>0</v>
      </c>
      <c r="E110" s="11"/>
      <c r="F110" s="157"/>
      <c r="G110" s="158"/>
      <c r="H110" s="158"/>
      <c r="I110" s="158"/>
      <c r="J110" s="158"/>
      <c r="K110" s="158"/>
      <c r="L110" s="268"/>
      <c r="M110" s="157"/>
      <c r="N110" s="158"/>
      <c r="O110" s="158"/>
      <c r="P110" s="158"/>
      <c r="Q110" s="158"/>
      <c r="R110" s="158"/>
      <c r="S110" s="268"/>
      <c r="T110" s="157"/>
      <c r="U110" s="158"/>
      <c r="V110" s="158"/>
      <c r="W110" s="158"/>
      <c r="X110" s="158"/>
      <c r="Y110" s="158"/>
      <c r="Z110" s="268"/>
      <c r="AA110" s="157"/>
      <c r="AB110" s="158"/>
      <c r="AC110" s="158"/>
      <c r="AD110" s="158"/>
      <c r="AE110" s="158"/>
      <c r="AF110" s="158"/>
      <c r="AG110" s="268"/>
      <c r="AH110" s="29"/>
      <c r="AI110" s="30"/>
      <c r="AJ110" s="30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  <c r="AZ110" s="31"/>
      <c r="BA110" s="31"/>
      <c r="BB110" s="31"/>
      <c r="BC110" s="31"/>
      <c r="BD110" s="31"/>
      <c r="BE110" s="31"/>
    </row>
    <row r="111" spans="1:57" outlineLevel="1" x14ac:dyDescent="0.25">
      <c r="A111" s="282" t="s">
        <v>54</v>
      </c>
      <c r="B111" s="258">
        <v>86400</v>
      </c>
      <c r="C111" s="150"/>
      <c r="D111" s="258">
        <f t="shared" si="43"/>
        <v>0</v>
      </c>
      <c r="E111" s="11"/>
      <c r="F111" s="157"/>
      <c r="G111" s="158"/>
      <c r="H111" s="158"/>
      <c r="I111" s="158"/>
      <c r="J111" s="158"/>
      <c r="K111" s="158"/>
      <c r="L111" s="268"/>
      <c r="M111" s="157"/>
      <c r="N111" s="158"/>
      <c r="O111" s="158"/>
      <c r="P111" s="158"/>
      <c r="Q111" s="158"/>
      <c r="R111" s="158"/>
      <c r="S111" s="268"/>
      <c r="T111" s="157"/>
      <c r="U111" s="158"/>
      <c r="V111" s="158"/>
      <c r="W111" s="158"/>
      <c r="X111" s="158"/>
      <c r="Y111" s="158"/>
      <c r="Z111" s="268"/>
      <c r="AA111" s="157"/>
      <c r="AB111" s="158"/>
      <c r="AC111" s="158"/>
      <c r="AD111" s="158"/>
      <c r="AE111" s="158"/>
      <c r="AF111" s="158"/>
      <c r="AG111" s="268"/>
      <c r="AH111" s="29"/>
      <c r="AI111" s="30"/>
      <c r="AJ111" s="30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  <c r="AZ111" s="31"/>
      <c r="BA111" s="31"/>
      <c r="BB111" s="31"/>
      <c r="BC111" s="31"/>
      <c r="BD111" s="31"/>
      <c r="BE111" s="31"/>
    </row>
    <row r="112" spans="1:57" outlineLevel="1" x14ac:dyDescent="0.25">
      <c r="A112" s="282" t="s">
        <v>56</v>
      </c>
      <c r="B112" s="258">
        <v>1450</v>
      </c>
      <c r="C112" s="150"/>
      <c r="D112" s="258">
        <f t="shared" si="43"/>
        <v>0</v>
      </c>
      <c r="E112" s="11"/>
      <c r="F112" s="157"/>
      <c r="G112" s="158"/>
      <c r="H112" s="158"/>
      <c r="I112" s="158"/>
      <c r="J112" s="158"/>
      <c r="K112" s="158"/>
      <c r="L112" s="268"/>
      <c r="M112" s="157"/>
      <c r="N112" s="158"/>
      <c r="O112" s="158"/>
      <c r="P112" s="158"/>
      <c r="Q112" s="158"/>
      <c r="R112" s="158"/>
      <c r="S112" s="268"/>
      <c r="T112" s="157"/>
      <c r="U112" s="158"/>
      <c r="V112" s="158"/>
      <c r="W112" s="158"/>
      <c r="X112" s="158"/>
      <c r="Y112" s="158"/>
      <c r="Z112" s="268"/>
      <c r="AA112" s="157"/>
      <c r="AB112" s="158"/>
      <c r="AC112" s="158"/>
      <c r="AD112" s="158"/>
      <c r="AE112" s="158"/>
      <c r="AF112" s="158"/>
      <c r="AG112" s="268"/>
      <c r="AH112" s="29"/>
      <c r="AI112" s="30"/>
      <c r="AJ112" s="30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  <c r="AZ112" s="31"/>
      <c r="BA112" s="31"/>
      <c r="BB112" s="31"/>
      <c r="BC112" s="31"/>
      <c r="BD112" s="31"/>
      <c r="BE112" s="31"/>
    </row>
    <row r="113" spans="1:57" outlineLevel="1" x14ac:dyDescent="0.25">
      <c r="A113" s="282" t="s">
        <v>79</v>
      </c>
      <c r="B113" s="258">
        <v>28500</v>
      </c>
      <c r="C113" s="150"/>
      <c r="D113" s="258">
        <f t="shared" si="43"/>
        <v>0</v>
      </c>
      <c r="E113" s="11"/>
      <c r="F113" s="157"/>
      <c r="G113" s="158"/>
      <c r="H113" s="158"/>
      <c r="I113" s="158"/>
      <c r="J113" s="158"/>
      <c r="K113" s="158"/>
      <c r="L113" s="268"/>
      <c r="M113" s="157"/>
      <c r="N113" s="158"/>
      <c r="O113" s="158"/>
      <c r="P113" s="158"/>
      <c r="Q113" s="158"/>
      <c r="R113" s="158"/>
      <c r="S113" s="268"/>
      <c r="T113" s="157"/>
      <c r="U113" s="158"/>
      <c r="V113" s="158"/>
      <c r="W113" s="158"/>
      <c r="X113" s="158"/>
      <c r="Y113" s="158"/>
      <c r="Z113" s="268"/>
      <c r="AA113" s="157"/>
      <c r="AB113" s="158"/>
      <c r="AC113" s="158"/>
      <c r="AD113" s="158"/>
      <c r="AE113" s="158"/>
      <c r="AF113" s="158"/>
      <c r="AG113" s="268"/>
      <c r="AH113" s="29"/>
      <c r="AI113" s="30"/>
      <c r="AJ113" s="30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  <c r="AZ113" s="31"/>
      <c r="BA113" s="31"/>
      <c r="BB113" s="31"/>
      <c r="BC113" s="31"/>
      <c r="BD113" s="31"/>
      <c r="BE113" s="31"/>
    </row>
    <row r="114" spans="1:57" outlineLevel="1" x14ac:dyDescent="0.25">
      <c r="A114" s="282" t="s">
        <v>57</v>
      </c>
      <c r="B114" s="258">
        <v>40000</v>
      </c>
      <c r="C114" s="150"/>
      <c r="D114" s="258">
        <f t="shared" si="43"/>
        <v>0</v>
      </c>
      <c r="E114" s="11"/>
      <c r="F114" s="157"/>
      <c r="G114" s="158"/>
      <c r="H114" s="158"/>
      <c r="I114" s="158"/>
      <c r="J114" s="158"/>
      <c r="K114" s="158"/>
      <c r="L114" s="268"/>
      <c r="M114" s="157"/>
      <c r="N114" s="158"/>
      <c r="O114" s="158"/>
      <c r="P114" s="158"/>
      <c r="Q114" s="158"/>
      <c r="R114" s="158"/>
      <c r="S114" s="268"/>
      <c r="T114" s="157"/>
      <c r="U114" s="158"/>
      <c r="V114" s="158"/>
      <c r="W114" s="158"/>
      <c r="X114" s="158"/>
      <c r="Y114" s="158"/>
      <c r="Z114" s="268"/>
      <c r="AA114" s="157"/>
      <c r="AB114" s="158"/>
      <c r="AC114" s="158"/>
      <c r="AD114" s="158"/>
      <c r="AE114" s="158"/>
      <c r="AF114" s="158"/>
      <c r="AG114" s="268"/>
      <c r="AH114" s="29"/>
      <c r="AI114" s="30"/>
      <c r="AJ114" s="30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  <c r="AZ114" s="31"/>
      <c r="BA114" s="31"/>
      <c r="BB114" s="31"/>
      <c r="BC114" s="31"/>
      <c r="BD114" s="31"/>
      <c r="BE114" s="31"/>
    </row>
    <row r="115" spans="1:57" outlineLevel="1" x14ac:dyDescent="0.25">
      <c r="A115" s="282" t="s">
        <v>78</v>
      </c>
      <c r="B115" s="258">
        <v>28500</v>
      </c>
      <c r="C115" s="150"/>
      <c r="D115" s="258">
        <f t="shared" si="43"/>
        <v>0</v>
      </c>
      <c r="E115" s="11"/>
      <c r="F115" s="157"/>
      <c r="G115" s="158"/>
      <c r="H115" s="158"/>
      <c r="I115" s="158"/>
      <c r="J115" s="158"/>
      <c r="K115" s="158"/>
      <c r="L115" s="268"/>
      <c r="M115" s="157"/>
      <c r="N115" s="158"/>
      <c r="O115" s="158"/>
      <c r="P115" s="158"/>
      <c r="Q115" s="158"/>
      <c r="R115" s="158"/>
      <c r="S115" s="268"/>
      <c r="T115" s="157"/>
      <c r="U115" s="158"/>
      <c r="V115" s="158"/>
      <c r="W115" s="158"/>
      <c r="X115" s="158"/>
      <c r="Y115" s="158"/>
      <c r="Z115" s="268"/>
      <c r="AA115" s="157"/>
      <c r="AB115" s="158"/>
      <c r="AC115" s="158"/>
      <c r="AD115" s="158"/>
      <c r="AE115" s="158"/>
      <c r="AF115" s="158"/>
      <c r="AG115" s="268"/>
      <c r="AH115" s="29"/>
      <c r="AI115" s="30"/>
      <c r="AJ115" s="30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  <c r="AZ115" s="31"/>
      <c r="BA115" s="31"/>
      <c r="BB115" s="31"/>
      <c r="BC115" s="31"/>
      <c r="BD115" s="31"/>
      <c r="BE115" s="31"/>
    </row>
    <row r="116" spans="1:57" outlineLevel="1" x14ac:dyDescent="0.25">
      <c r="A116" s="275" t="s">
        <v>58</v>
      </c>
      <c r="B116" s="258">
        <v>27500</v>
      </c>
      <c r="C116" s="150"/>
      <c r="D116" s="258">
        <f t="shared" si="43"/>
        <v>0</v>
      </c>
      <c r="E116" s="11"/>
      <c r="F116" s="157"/>
      <c r="G116" s="158"/>
      <c r="H116" s="158"/>
      <c r="I116" s="158"/>
      <c r="J116" s="158"/>
      <c r="K116" s="158"/>
      <c r="L116" s="268"/>
      <c r="M116" s="157"/>
      <c r="N116" s="158"/>
      <c r="O116" s="158"/>
      <c r="P116" s="158"/>
      <c r="Q116" s="158"/>
      <c r="R116" s="158"/>
      <c r="S116" s="268"/>
      <c r="T116" s="157"/>
      <c r="U116" s="158"/>
      <c r="V116" s="158"/>
      <c r="W116" s="158"/>
      <c r="X116" s="158"/>
      <c r="Y116" s="158"/>
      <c r="Z116" s="268"/>
      <c r="AA116" s="157"/>
      <c r="AB116" s="158"/>
      <c r="AC116" s="158"/>
      <c r="AD116" s="158"/>
      <c r="AE116" s="158"/>
      <c r="AF116" s="158"/>
      <c r="AG116" s="268"/>
      <c r="AH116" s="29"/>
      <c r="AI116" s="30"/>
      <c r="AJ116" s="30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  <c r="AZ116" s="31"/>
      <c r="BA116" s="31"/>
      <c r="BB116" s="31"/>
      <c r="BC116" s="31"/>
      <c r="BD116" s="31"/>
      <c r="BE116" s="31"/>
    </row>
    <row r="117" spans="1:57" outlineLevel="1" x14ac:dyDescent="0.25">
      <c r="A117" s="282" t="s">
        <v>59</v>
      </c>
      <c r="B117" s="258">
        <v>55000</v>
      </c>
      <c r="C117" s="150"/>
      <c r="D117" s="258">
        <f t="shared" si="43"/>
        <v>0</v>
      </c>
      <c r="E117" s="11"/>
      <c r="F117" s="157"/>
      <c r="G117" s="158"/>
      <c r="H117" s="158"/>
      <c r="I117" s="158"/>
      <c r="J117" s="158"/>
      <c r="K117" s="158"/>
      <c r="L117" s="268"/>
      <c r="M117" s="157"/>
      <c r="N117" s="158"/>
      <c r="O117" s="158"/>
      <c r="P117" s="158"/>
      <c r="Q117" s="158"/>
      <c r="R117" s="158"/>
      <c r="S117" s="268"/>
      <c r="T117" s="157"/>
      <c r="U117" s="158"/>
      <c r="V117" s="158"/>
      <c r="W117" s="158"/>
      <c r="X117" s="158"/>
      <c r="Y117" s="158"/>
      <c r="Z117" s="268"/>
      <c r="AA117" s="157"/>
      <c r="AB117" s="158"/>
      <c r="AC117" s="158"/>
      <c r="AD117" s="158"/>
      <c r="AE117" s="158"/>
      <c r="AF117" s="158"/>
      <c r="AG117" s="268"/>
      <c r="AH117" s="29"/>
      <c r="AI117" s="30"/>
      <c r="AJ117" s="30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  <c r="AZ117" s="31"/>
      <c r="BA117" s="31"/>
      <c r="BB117" s="31"/>
      <c r="BC117" s="31"/>
      <c r="BD117" s="31"/>
      <c r="BE117" s="31"/>
    </row>
    <row r="118" spans="1:57" outlineLevel="1" x14ac:dyDescent="0.25">
      <c r="A118" s="282" t="s">
        <v>60</v>
      </c>
      <c r="B118" s="258">
        <v>5000</v>
      </c>
      <c r="C118" s="150"/>
      <c r="D118" s="258">
        <f t="shared" si="43"/>
        <v>0</v>
      </c>
      <c r="E118" s="11"/>
      <c r="F118" s="157"/>
      <c r="G118" s="158"/>
      <c r="H118" s="158"/>
      <c r="I118" s="158"/>
      <c r="J118" s="158"/>
      <c r="K118" s="158"/>
      <c r="L118" s="268"/>
      <c r="M118" s="157"/>
      <c r="N118" s="158"/>
      <c r="O118" s="158"/>
      <c r="P118" s="158"/>
      <c r="Q118" s="158"/>
      <c r="R118" s="158"/>
      <c r="S118" s="268"/>
      <c r="T118" s="157"/>
      <c r="U118" s="158"/>
      <c r="V118" s="158"/>
      <c r="W118" s="158"/>
      <c r="X118" s="158"/>
      <c r="Y118" s="158"/>
      <c r="Z118" s="268"/>
      <c r="AA118" s="157"/>
      <c r="AB118" s="158"/>
      <c r="AC118" s="158"/>
      <c r="AD118" s="158"/>
      <c r="AE118" s="158"/>
      <c r="AF118" s="158"/>
      <c r="AG118" s="268"/>
      <c r="AH118" s="29"/>
      <c r="AI118" s="30"/>
      <c r="AJ118" s="30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  <c r="AZ118" s="31"/>
      <c r="BA118" s="31"/>
      <c r="BB118" s="31"/>
      <c r="BC118" s="31"/>
      <c r="BD118" s="31"/>
      <c r="BE118" s="31"/>
    </row>
    <row r="119" spans="1:57" ht="15.75" outlineLevel="1" thickBot="1" x14ac:dyDescent="0.3">
      <c r="A119" s="284" t="s">
        <v>61</v>
      </c>
      <c r="B119" s="261">
        <v>23000</v>
      </c>
      <c r="C119" s="150"/>
      <c r="D119" s="261">
        <f t="shared" si="43"/>
        <v>0</v>
      </c>
      <c r="E119" s="23"/>
      <c r="F119" s="157"/>
      <c r="G119" s="158"/>
      <c r="H119" s="158"/>
      <c r="I119" s="158"/>
      <c r="J119" s="158"/>
      <c r="K119" s="158"/>
      <c r="L119" s="268"/>
      <c r="M119" s="157"/>
      <c r="N119" s="158"/>
      <c r="O119" s="158"/>
      <c r="P119" s="158"/>
      <c r="Q119" s="158"/>
      <c r="R119" s="158"/>
      <c r="S119" s="268"/>
      <c r="T119" s="157"/>
      <c r="U119" s="158"/>
      <c r="V119" s="158"/>
      <c r="W119" s="158"/>
      <c r="X119" s="158"/>
      <c r="Y119" s="158"/>
      <c r="Z119" s="268"/>
      <c r="AA119" s="157"/>
      <c r="AB119" s="158"/>
      <c r="AC119" s="158"/>
      <c r="AD119" s="158"/>
      <c r="AE119" s="158"/>
      <c r="AF119" s="158"/>
      <c r="AG119" s="268"/>
      <c r="AH119" s="29"/>
      <c r="AI119" s="30"/>
      <c r="AJ119" s="30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  <c r="AZ119" s="31"/>
      <c r="BA119" s="31"/>
      <c r="BB119" s="31"/>
      <c r="BC119" s="31"/>
      <c r="BD119" s="31"/>
      <c r="BE119" s="31"/>
    </row>
    <row r="120" spans="1:57" s="208" customFormat="1" ht="24" thickBot="1" x14ac:dyDescent="0.3">
      <c r="A120" s="198" t="s">
        <v>5</v>
      </c>
      <c r="B120" s="199"/>
      <c r="C120" s="200"/>
      <c r="D120" s="201">
        <f>SUM(D121:D128)</f>
        <v>0</v>
      </c>
      <c r="E120" s="202"/>
      <c r="F120" s="203" t="str">
        <f>IF(CONCATENATE(F121,F122,F123,F124,F125,F126,F127,F128)&gt;" ","х"," ")</f>
        <v xml:space="preserve"> </v>
      </c>
      <c r="G120" s="204" t="str">
        <f>IF(CONCATENATE(G121,G122,G123,G124,G125,G126,G127,G128)&gt;" ","х"," ")</f>
        <v xml:space="preserve"> </v>
      </c>
      <c r="H120" s="204" t="str">
        <f t="shared" ref="H120:L120" si="44">IF(CONCATENATE(H121,H122,H123,H124,H125,H126,H127,H128)&gt;" ","х"," ")</f>
        <v xml:space="preserve"> </v>
      </c>
      <c r="I120" s="204" t="str">
        <f t="shared" si="44"/>
        <v xml:space="preserve"> </v>
      </c>
      <c r="J120" s="204" t="str">
        <f t="shared" si="44"/>
        <v xml:space="preserve"> </v>
      </c>
      <c r="K120" s="204" t="str">
        <f t="shared" si="44"/>
        <v xml:space="preserve"> </v>
      </c>
      <c r="L120" s="205" t="str">
        <f t="shared" si="44"/>
        <v xml:space="preserve"> </v>
      </c>
      <c r="M120" s="203" t="str">
        <f>IF(CONCATENATE(M121,M122,M123,M124,M125,M126,M127,M128)&gt;" ","х"," ")</f>
        <v xml:space="preserve"> </v>
      </c>
      <c r="N120" s="204" t="str">
        <f>IF(CONCATENATE(N121,N122,N123,N124,N125,N126,N127,N128)&gt;" ","х"," ")</f>
        <v xml:space="preserve"> </v>
      </c>
      <c r="O120" s="204" t="str">
        <f t="shared" ref="O120:S120" si="45">IF(CONCATENATE(O121,O122,O123,O124,O125,O126,O127,O128)&gt;" ","х"," ")</f>
        <v xml:space="preserve"> </v>
      </c>
      <c r="P120" s="204" t="str">
        <f t="shared" si="45"/>
        <v xml:space="preserve"> </v>
      </c>
      <c r="Q120" s="204" t="str">
        <f t="shared" si="45"/>
        <v xml:space="preserve"> </v>
      </c>
      <c r="R120" s="204" t="str">
        <f t="shared" si="45"/>
        <v xml:space="preserve"> </v>
      </c>
      <c r="S120" s="205" t="str">
        <f t="shared" si="45"/>
        <v xml:space="preserve"> </v>
      </c>
      <c r="T120" s="203" t="str">
        <f>IF(CONCATENATE(T121,T122,T123,T124,T125,T126,T127,T128)&gt;" ","х"," ")</f>
        <v xml:space="preserve"> </v>
      </c>
      <c r="U120" s="204" t="str">
        <f>IF(CONCATENATE(U121,U122,U123,U124,U125,U126,U127,U128)&gt;" ","х"," ")</f>
        <v xml:space="preserve"> </v>
      </c>
      <c r="V120" s="204" t="str">
        <f t="shared" ref="V120:Z120" si="46">IF(CONCATENATE(V121,V122,V123,V124,V125,V126,V127,V128)&gt;" ","х"," ")</f>
        <v xml:space="preserve"> </v>
      </c>
      <c r="W120" s="204" t="str">
        <f t="shared" si="46"/>
        <v xml:space="preserve"> </v>
      </c>
      <c r="X120" s="204" t="str">
        <f t="shared" si="46"/>
        <v xml:space="preserve"> </v>
      </c>
      <c r="Y120" s="204" t="str">
        <f t="shared" si="46"/>
        <v xml:space="preserve"> </v>
      </c>
      <c r="Z120" s="205" t="str">
        <f t="shared" si="46"/>
        <v xml:space="preserve"> </v>
      </c>
      <c r="AA120" s="203" t="str">
        <f>IF(CONCATENATE(AA121,AA122,AA123,AA124,AA125,AA126,AA127,AA128)&gt;" ","х"," ")</f>
        <v xml:space="preserve"> </v>
      </c>
      <c r="AB120" s="204" t="str">
        <f>IF(CONCATENATE(AB121,AB122,AB123,AB124,AB125,AB126,AB127,AB128)&gt;" ","х"," ")</f>
        <v xml:space="preserve"> </v>
      </c>
      <c r="AC120" s="204" t="str">
        <f t="shared" ref="AC120:AG120" si="47">IF(CONCATENATE(AC121,AC122,AC123,AC124,AC125,AC126,AC127,AC128)&gt;" ","х"," ")</f>
        <v xml:space="preserve"> </v>
      </c>
      <c r="AD120" s="204" t="str">
        <f t="shared" si="47"/>
        <v xml:space="preserve"> </v>
      </c>
      <c r="AE120" s="204" t="str">
        <f t="shared" si="47"/>
        <v xml:space="preserve"> </v>
      </c>
      <c r="AF120" s="204" t="str">
        <f t="shared" si="47"/>
        <v xml:space="preserve"> </v>
      </c>
      <c r="AG120" s="205" t="str">
        <f t="shared" si="47"/>
        <v xml:space="preserve"> </v>
      </c>
      <c r="AH120" s="206"/>
      <c r="AI120" s="207"/>
      <c r="AJ120" s="207"/>
    </row>
    <row r="121" spans="1:57" s="7" customFormat="1" outlineLevel="1" x14ac:dyDescent="0.25">
      <c r="A121" s="285" t="s">
        <v>6</v>
      </c>
      <c r="B121" s="262">
        <v>60000</v>
      </c>
      <c r="C121" s="153"/>
      <c r="D121" s="262">
        <f>B121*C121</f>
        <v>0</v>
      </c>
      <c r="E121" s="24"/>
      <c r="F121" s="157"/>
      <c r="G121" s="158"/>
      <c r="H121" s="158"/>
      <c r="I121" s="158"/>
      <c r="J121" s="158"/>
      <c r="K121" s="158"/>
      <c r="L121" s="268"/>
      <c r="M121" s="157"/>
      <c r="N121" s="158"/>
      <c r="O121" s="158"/>
      <c r="P121" s="158"/>
      <c r="Q121" s="158"/>
      <c r="R121" s="158"/>
      <c r="S121" s="268"/>
      <c r="T121" s="157"/>
      <c r="U121" s="158"/>
      <c r="V121" s="158"/>
      <c r="W121" s="158"/>
      <c r="X121" s="158"/>
      <c r="Y121" s="158"/>
      <c r="Z121" s="268"/>
      <c r="AA121" s="157"/>
      <c r="AB121" s="158"/>
      <c r="AC121" s="158"/>
      <c r="AD121" s="158"/>
      <c r="AE121" s="158"/>
      <c r="AF121" s="158"/>
      <c r="AG121" s="267"/>
      <c r="AH121" s="16"/>
      <c r="AI121" s="16"/>
      <c r="AJ121" s="16"/>
    </row>
    <row r="122" spans="1:57" s="7" customFormat="1" outlineLevel="1" x14ac:dyDescent="0.25">
      <c r="A122" s="286" t="s">
        <v>10</v>
      </c>
      <c r="B122" s="263">
        <v>290000</v>
      </c>
      <c r="C122" s="153"/>
      <c r="D122" s="263">
        <f>B122*C122</f>
        <v>0</v>
      </c>
      <c r="E122" s="12"/>
      <c r="F122" s="157"/>
      <c r="G122" s="158"/>
      <c r="H122" s="158"/>
      <c r="I122" s="158"/>
      <c r="J122" s="158"/>
      <c r="K122" s="158"/>
      <c r="L122" s="268"/>
      <c r="M122" s="157"/>
      <c r="N122" s="158"/>
      <c r="O122" s="158"/>
      <c r="P122" s="158"/>
      <c r="Q122" s="158"/>
      <c r="R122" s="158"/>
      <c r="S122" s="268"/>
      <c r="T122" s="157"/>
      <c r="U122" s="158"/>
      <c r="V122" s="158"/>
      <c r="W122" s="158"/>
      <c r="X122" s="158"/>
      <c r="Y122" s="158"/>
      <c r="Z122" s="268"/>
      <c r="AA122" s="157"/>
      <c r="AB122" s="158"/>
      <c r="AC122" s="158"/>
      <c r="AD122" s="158"/>
      <c r="AE122" s="158"/>
      <c r="AF122" s="158"/>
      <c r="AG122" s="268"/>
      <c r="AH122" s="16"/>
      <c r="AI122" s="16"/>
      <c r="AJ122" s="16"/>
    </row>
    <row r="123" spans="1:57" s="7" customFormat="1" ht="30" outlineLevel="1" x14ac:dyDescent="0.25">
      <c r="A123" s="286" t="s">
        <v>35</v>
      </c>
      <c r="B123" s="263">
        <v>400000</v>
      </c>
      <c r="C123" s="153"/>
      <c r="D123" s="263">
        <f>B123*C123</f>
        <v>0</v>
      </c>
      <c r="E123" s="12"/>
      <c r="F123" s="157"/>
      <c r="G123" s="158"/>
      <c r="H123" s="158"/>
      <c r="I123" s="158"/>
      <c r="J123" s="158"/>
      <c r="K123" s="158"/>
      <c r="L123" s="268"/>
      <c r="M123" s="157"/>
      <c r="N123" s="158"/>
      <c r="O123" s="158"/>
      <c r="P123" s="158"/>
      <c r="Q123" s="158"/>
      <c r="R123" s="158"/>
      <c r="S123" s="268"/>
      <c r="T123" s="157"/>
      <c r="U123" s="158"/>
      <c r="V123" s="158"/>
      <c r="W123" s="158"/>
      <c r="X123" s="158"/>
      <c r="Y123" s="158"/>
      <c r="Z123" s="268"/>
      <c r="AA123" s="157"/>
      <c r="AB123" s="158"/>
      <c r="AC123" s="158"/>
      <c r="AD123" s="158"/>
      <c r="AE123" s="158"/>
      <c r="AF123" s="158"/>
      <c r="AG123" s="268"/>
      <c r="AH123" s="16"/>
      <c r="AI123" s="16"/>
      <c r="AJ123" s="16"/>
    </row>
    <row r="124" spans="1:57" s="7" customFormat="1" outlineLevel="1" x14ac:dyDescent="0.25">
      <c r="A124" s="287" t="s">
        <v>36</v>
      </c>
      <c r="B124" s="288">
        <f>18000 + 45000</f>
        <v>63000</v>
      </c>
      <c r="C124" s="153"/>
      <c r="D124" s="263">
        <f t="shared" ref="D124:D127" si="48">B124*C124</f>
        <v>0</v>
      </c>
      <c r="E124" s="13"/>
      <c r="F124" s="157"/>
      <c r="G124" s="158"/>
      <c r="H124" s="158"/>
      <c r="I124" s="158"/>
      <c r="J124" s="158"/>
      <c r="K124" s="158"/>
      <c r="L124" s="268"/>
      <c r="M124" s="157"/>
      <c r="N124" s="158"/>
      <c r="O124" s="158"/>
      <c r="P124" s="158"/>
      <c r="Q124" s="158"/>
      <c r="R124" s="158"/>
      <c r="S124" s="268"/>
      <c r="T124" s="157"/>
      <c r="U124" s="158"/>
      <c r="V124" s="158"/>
      <c r="W124" s="158"/>
      <c r="X124" s="158"/>
      <c r="Y124" s="158"/>
      <c r="Z124" s="268"/>
      <c r="AA124" s="157"/>
      <c r="AB124" s="158"/>
      <c r="AC124" s="158"/>
      <c r="AD124" s="158"/>
      <c r="AE124" s="158"/>
      <c r="AF124" s="158"/>
      <c r="AG124" s="268"/>
      <c r="AH124" s="16"/>
      <c r="AI124" s="16"/>
      <c r="AJ124" s="16"/>
    </row>
    <row r="125" spans="1:57" s="7" customFormat="1" outlineLevel="1" x14ac:dyDescent="0.25">
      <c r="A125" s="286" t="s">
        <v>37</v>
      </c>
      <c r="B125" s="288">
        <f>10000 + 20000</f>
        <v>30000</v>
      </c>
      <c r="C125" s="153"/>
      <c r="D125" s="263">
        <f t="shared" si="48"/>
        <v>0</v>
      </c>
      <c r="E125" s="13"/>
      <c r="F125" s="157"/>
      <c r="G125" s="158"/>
      <c r="H125" s="158"/>
      <c r="I125" s="158"/>
      <c r="J125" s="158"/>
      <c r="K125" s="158"/>
      <c r="L125" s="268"/>
      <c r="M125" s="157"/>
      <c r="N125" s="158"/>
      <c r="O125" s="158"/>
      <c r="P125" s="158"/>
      <c r="Q125" s="158"/>
      <c r="R125" s="158"/>
      <c r="S125" s="268"/>
      <c r="T125" s="157"/>
      <c r="U125" s="158"/>
      <c r="V125" s="158"/>
      <c r="W125" s="158"/>
      <c r="X125" s="158"/>
      <c r="Y125" s="158"/>
      <c r="Z125" s="268"/>
      <c r="AA125" s="157"/>
      <c r="AB125" s="158"/>
      <c r="AC125" s="158"/>
      <c r="AD125" s="158"/>
      <c r="AE125" s="158"/>
      <c r="AF125" s="158"/>
      <c r="AG125" s="268"/>
      <c r="AH125" s="16"/>
      <c r="AI125" s="16"/>
      <c r="AJ125" s="16"/>
    </row>
    <row r="126" spans="1:57" s="7" customFormat="1" outlineLevel="1" x14ac:dyDescent="0.25">
      <c r="A126" s="286" t="s">
        <v>38</v>
      </c>
      <c r="B126" s="288">
        <f>27000 + 65000</f>
        <v>92000</v>
      </c>
      <c r="C126" s="153"/>
      <c r="D126" s="263">
        <f t="shared" si="48"/>
        <v>0</v>
      </c>
      <c r="E126" s="13"/>
      <c r="F126" s="157"/>
      <c r="G126" s="158"/>
      <c r="H126" s="158"/>
      <c r="I126" s="158"/>
      <c r="J126" s="158"/>
      <c r="K126" s="158"/>
      <c r="L126" s="268"/>
      <c r="M126" s="157"/>
      <c r="N126" s="158"/>
      <c r="O126" s="158"/>
      <c r="P126" s="158"/>
      <c r="Q126" s="158"/>
      <c r="R126" s="158"/>
      <c r="S126" s="268"/>
      <c r="T126" s="157"/>
      <c r="U126" s="158"/>
      <c r="V126" s="158"/>
      <c r="W126" s="158"/>
      <c r="X126" s="158"/>
      <c r="Y126" s="158"/>
      <c r="Z126" s="268"/>
      <c r="AA126" s="157"/>
      <c r="AB126" s="158"/>
      <c r="AC126" s="158"/>
      <c r="AD126" s="158"/>
      <c r="AE126" s="158"/>
      <c r="AF126" s="158"/>
      <c r="AG126" s="268"/>
      <c r="AH126" s="16"/>
      <c r="AI126" s="16"/>
      <c r="AJ126" s="16"/>
    </row>
    <row r="127" spans="1:57" s="8" customFormat="1" outlineLevel="1" x14ac:dyDescent="0.25">
      <c r="A127" s="289" t="s">
        <v>39</v>
      </c>
      <c r="B127" s="290">
        <f>65000 + 40000</f>
        <v>105000</v>
      </c>
      <c r="C127" s="153"/>
      <c r="D127" s="264">
        <f t="shared" si="48"/>
        <v>0</v>
      </c>
      <c r="E127" s="58"/>
      <c r="F127" s="157"/>
      <c r="G127" s="158"/>
      <c r="H127" s="158"/>
      <c r="I127" s="158"/>
      <c r="J127" s="158"/>
      <c r="K127" s="158"/>
      <c r="L127" s="268"/>
      <c r="M127" s="157"/>
      <c r="N127" s="158"/>
      <c r="O127" s="158"/>
      <c r="P127" s="158"/>
      <c r="Q127" s="158"/>
      <c r="R127" s="158"/>
      <c r="S127" s="268"/>
      <c r="T127" s="157"/>
      <c r="U127" s="158"/>
      <c r="V127" s="158"/>
      <c r="W127" s="158"/>
      <c r="X127" s="158"/>
      <c r="Y127" s="158"/>
      <c r="Z127" s="268"/>
      <c r="AA127" s="157"/>
      <c r="AB127" s="158"/>
      <c r="AC127" s="158"/>
      <c r="AD127" s="158"/>
      <c r="AE127" s="158"/>
      <c r="AF127" s="158"/>
      <c r="AG127" s="268"/>
      <c r="AH127" s="17"/>
      <c r="AI127" s="17"/>
      <c r="AJ127" s="17"/>
    </row>
    <row r="128" spans="1:57" s="57" customFormat="1" ht="18" customHeight="1" outlineLevel="1" thickBot="1" x14ac:dyDescent="0.3">
      <c r="A128" s="289" t="s">
        <v>7</v>
      </c>
      <c r="B128" s="264">
        <v>4600</v>
      </c>
      <c r="C128" s="153"/>
      <c r="D128" s="264">
        <f>B128*C128</f>
        <v>0</v>
      </c>
      <c r="E128" s="61"/>
      <c r="F128" s="157"/>
      <c r="G128" s="158"/>
      <c r="H128" s="158"/>
      <c r="I128" s="158"/>
      <c r="J128" s="158"/>
      <c r="K128" s="158"/>
      <c r="L128" s="268"/>
      <c r="M128" s="157"/>
      <c r="N128" s="158"/>
      <c r="O128" s="158"/>
      <c r="P128" s="158"/>
      <c r="Q128" s="158"/>
      <c r="R128" s="158"/>
      <c r="S128" s="268"/>
      <c r="T128" s="157"/>
      <c r="U128" s="158"/>
      <c r="V128" s="158"/>
      <c r="W128" s="158"/>
      <c r="X128" s="158"/>
      <c r="Y128" s="158"/>
      <c r="Z128" s="268"/>
      <c r="AA128" s="157"/>
      <c r="AB128" s="158"/>
      <c r="AC128" s="158"/>
      <c r="AD128" s="158"/>
      <c r="AE128" s="158"/>
      <c r="AF128" s="158"/>
      <c r="AG128" s="268"/>
      <c r="AH128" s="56"/>
      <c r="AI128" s="56"/>
      <c r="AJ128" s="56"/>
    </row>
    <row r="129" spans="1:36" s="245" customFormat="1" ht="24" thickBot="1" x14ac:dyDescent="0.3">
      <c r="A129" s="238" t="s">
        <v>106</v>
      </c>
      <c r="B129" s="239"/>
      <c r="C129" s="240"/>
      <c r="D129" s="241">
        <f>SUM(D130:D139)</f>
        <v>0</v>
      </c>
      <c r="E129" s="242"/>
      <c r="F129" s="243" t="str">
        <f>IF(CONCATENATE(F130,F131,F132,F133,F134,F135,F136,F137,F138,F139)&gt;" ","х"," ")</f>
        <v xml:space="preserve"> </v>
      </c>
      <c r="G129" s="204" t="str">
        <f>IF(CONCATENATE(G130,G131,G132,G133,G134,G135,G136,G137,G138,G139)&gt;" ","х"," ")</f>
        <v xml:space="preserve"> </v>
      </c>
      <c r="H129" s="204" t="str">
        <f t="shared" ref="H129:L129" si="49">IF(CONCATENATE(H130,H131,H132,H133,H134,H135,H136,H137,H138,H139)&gt;" ","х"," ")</f>
        <v xml:space="preserve"> </v>
      </c>
      <c r="I129" s="204" t="str">
        <f t="shared" si="49"/>
        <v xml:space="preserve"> </v>
      </c>
      <c r="J129" s="204" t="str">
        <f t="shared" si="49"/>
        <v xml:space="preserve"> </v>
      </c>
      <c r="K129" s="204" t="str">
        <f t="shared" si="49"/>
        <v xml:space="preserve"> </v>
      </c>
      <c r="L129" s="205" t="str">
        <f t="shared" si="49"/>
        <v xml:space="preserve"> </v>
      </c>
      <c r="M129" s="203" t="str">
        <f>IF(CONCATENATE(M130,M131,M132,M133,M134,M135,M136,M137,M138,M139)&gt;" ","х"," ")</f>
        <v xml:space="preserve"> </v>
      </c>
      <c r="N129" s="204" t="str">
        <f>IF(CONCATENATE(N130,N131,N132,N133,N134,N135,N136,N137,N138,N139)&gt;" ","х"," ")</f>
        <v xml:space="preserve"> </v>
      </c>
      <c r="O129" s="204" t="str">
        <f t="shared" ref="O129:S129" si="50">IF(CONCATENATE(O130,O131,O132,O133,O134,O135,O136,O137,O138,O139)&gt;" ","х"," ")</f>
        <v xml:space="preserve"> </v>
      </c>
      <c r="P129" s="204" t="str">
        <f t="shared" si="50"/>
        <v xml:space="preserve"> </v>
      </c>
      <c r="Q129" s="204" t="str">
        <f t="shared" si="50"/>
        <v xml:space="preserve"> </v>
      </c>
      <c r="R129" s="204" t="str">
        <f t="shared" si="50"/>
        <v xml:space="preserve"> </v>
      </c>
      <c r="S129" s="205" t="str">
        <f t="shared" si="50"/>
        <v xml:space="preserve"> </v>
      </c>
      <c r="T129" s="203" t="str">
        <f>IF(CONCATENATE(T130,T131,T132,T133,T134,T135,T136,T137,T138,T139)&gt;" ","х"," ")</f>
        <v xml:space="preserve"> </v>
      </c>
      <c r="U129" s="204" t="str">
        <f>IF(CONCATENATE(U130,U131,U132,U133,U134,U135,U136,U137,U138,U139)&gt;" ","х"," ")</f>
        <v xml:space="preserve"> </v>
      </c>
      <c r="V129" s="204" t="str">
        <f t="shared" ref="V129:Z129" si="51">IF(CONCATENATE(V130,V131,V132,V133,V134,V135,V136,V137,V138,V139)&gt;" ","х"," ")</f>
        <v xml:space="preserve"> </v>
      </c>
      <c r="W129" s="204" t="str">
        <f t="shared" si="51"/>
        <v xml:space="preserve"> </v>
      </c>
      <c r="X129" s="204" t="str">
        <f t="shared" si="51"/>
        <v xml:space="preserve"> </v>
      </c>
      <c r="Y129" s="204" t="str">
        <f t="shared" si="51"/>
        <v xml:space="preserve"> </v>
      </c>
      <c r="Z129" s="205" t="str">
        <f t="shared" si="51"/>
        <v xml:space="preserve"> </v>
      </c>
      <c r="AA129" s="203" t="str">
        <f>IF(CONCATENATE(AA130,AA131,AA132,AA133,AA134,AA135,AA136,AA137,AA138,AA139)&gt;" ","х"," ")</f>
        <v xml:space="preserve"> </v>
      </c>
      <c r="AB129" s="204" t="str">
        <f>IF(CONCATENATE(AB130,AB131,AB132,AB133,AB134,AB135,AB136,AB137,AB138,AB139)&gt;" ","х"," ")</f>
        <v xml:space="preserve"> </v>
      </c>
      <c r="AC129" s="204" t="str">
        <f t="shared" ref="AC129:AG129" si="52">IF(CONCATENATE(AC130,AC131,AC132,AC133,AC134,AC135,AC136,AC137,AC138,AC139)&gt;" ","х"," ")</f>
        <v xml:space="preserve"> </v>
      </c>
      <c r="AD129" s="204" t="str">
        <f t="shared" si="52"/>
        <v xml:space="preserve"> </v>
      </c>
      <c r="AE129" s="204" t="str">
        <f t="shared" si="52"/>
        <v xml:space="preserve"> </v>
      </c>
      <c r="AF129" s="204" t="str">
        <f t="shared" si="52"/>
        <v xml:space="preserve"> </v>
      </c>
      <c r="AG129" s="205" t="str">
        <f t="shared" si="52"/>
        <v xml:space="preserve"> </v>
      </c>
      <c r="AH129" s="244"/>
      <c r="AI129" s="244"/>
      <c r="AJ129" s="244"/>
    </row>
    <row r="130" spans="1:36" s="57" customFormat="1" ht="18" customHeight="1" outlineLevel="1" x14ac:dyDescent="0.25">
      <c r="A130" s="154"/>
      <c r="B130" s="153"/>
      <c r="C130" s="153"/>
      <c r="D130" s="262">
        <f>B130*C130</f>
        <v>0</v>
      </c>
      <c r="E130" s="62"/>
      <c r="F130" s="157"/>
      <c r="G130" s="158"/>
      <c r="H130" s="158"/>
      <c r="I130" s="158"/>
      <c r="J130" s="158"/>
      <c r="K130" s="158"/>
      <c r="L130" s="268"/>
      <c r="M130" s="157"/>
      <c r="N130" s="158"/>
      <c r="O130" s="158"/>
      <c r="P130" s="158"/>
      <c r="Q130" s="158"/>
      <c r="R130" s="158"/>
      <c r="S130" s="268"/>
      <c r="T130" s="157"/>
      <c r="U130" s="158"/>
      <c r="V130" s="158"/>
      <c r="W130" s="158"/>
      <c r="X130" s="158"/>
      <c r="Y130" s="158"/>
      <c r="Z130" s="268"/>
      <c r="AA130" s="157"/>
      <c r="AB130" s="158"/>
      <c r="AC130" s="158"/>
      <c r="AD130" s="158"/>
      <c r="AE130" s="158"/>
      <c r="AF130" s="158"/>
      <c r="AG130" s="268"/>
      <c r="AH130" s="56"/>
      <c r="AI130" s="56"/>
      <c r="AJ130" s="56"/>
    </row>
    <row r="131" spans="1:36" s="57" customFormat="1" ht="18" customHeight="1" outlineLevel="1" x14ac:dyDescent="0.25">
      <c r="A131" s="155"/>
      <c r="B131" s="153"/>
      <c r="C131" s="153"/>
      <c r="D131" s="263">
        <f t="shared" ref="D131:D139" si="53">B131*C131</f>
        <v>0</v>
      </c>
      <c r="E131" s="59"/>
      <c r="F131" s="157"/>
      <c r="G131" s="158"/>
      <c r="H131" s="158"/>
      <c r="I131" s="158"/>
      <c r="J131" s="158"/>
      <c r="K131" s="158"/>
      <c r="L131" s="268"/>
      <c r="M131" s="157"/>
      <c r="N131" s="158"/>
      <c r="O131" s="158"/>
      <c r="P131" s="158"/>
      <c r="Q131" s="158"/>
      <c r="R131" s="158"/>
      <c r="S131" s="268"/>
      <c r="T131" s="157"/>
      <c r="U131" s="158"/>
      <c r="V131" s="158"/>
      <c r="W131" s="158"/>
      <c r="X131" s="158"/>
      <c r="Y131" s="158"/>
      <c r="Z131" s="268"/>
      <c r="AA131" s="157"/>
      <c r="AB131" s="158"/>
      <c r="AC131" s="158"/>
      <c r="AD131" s="158"/>
      <c r="AE131" s="158"/>
      <c r="AF131" s="158"/>
      <c r="AG131" s="268"/>
      <c r="AH131" s="56"/>
      <c r="AI131" s="56"/>
      <c r="AJ131" s="56"/>
    </row>
    <row r="132" spans="1:36" s="57" customFormat="1" ht="18" customHeight="1" outlineLevel="1" x14ac:dyDescent="0.25">
      <c r="A132" s="155"/>
      <c r="B132" s="153"/>
      <c r="C132" s="153"/>
      <c r="D132" s="263">
        <f t="shared" si="53"/>
        <v>0</v>
      </c>
      <c r="E132" s="59"/>
      <c r="F132" s="157"/>
      <c r="G132" s="158"/>
      <c r="H132" s="158"/>
      <c r="I132" s="158"/>
      <c r="J132" s="158"/>
      <c r="K132" s="158"/>
      <c r="L132" s="268"/>
      <c r="M132" s="157"/>
      <c r="N132" s="158"/>
      <c r="O132" s="158"/>
      <c r="P132" s="158"/>
      <c r="Q132" s="158"/>
      <c r="R132" s="158"/>
      <c r="S132" s="268"/>
      <c r="T132" s="157"/>
      <c r="U132" s="158"/>
      <c r="V132" s="158"/>
      <c r="W132" s="158"/>
      <c r="X132" s="158"/>
      <c r="Y132" s="158"/>
      <c r="Z132" s="268"/>
      <c r="AA132" s="157"/>
      <c r="AB132" s="158"/>
      <c r="AC132" s="158"/>
      <c r="AD132" s="158"/>
      <c r="AE132" s="158"/>
      <c r="AF132" s="158"/>
      <c r="AG132" s="268"/>
      <c r="AH132" s="56"/>
      <c r="AI132" s="56"/>
      <c r="AJ132" s="56"/>
    </row>
    <row r="133" spans="1:36" s="57" customFormat="1" ht="18" customHeight="1" outlineLevel="1" x14ac:dyDescent="0.25">
      <c r="A133" s="155"/>
      <c r="B133" s="153"/>
      <c r="C133" s="153"/>
      <c r="D133" s="263">
        <f t="shared" si="53"/>
        <v>0</v>
      </c>
      <c r="E133" s="59"/>
      <c r="F133" s="157"/>
      <c r="G133" s="158"/>
      <c r="H133" s="158"/>
      <c r="I133" s="158"/>
      <c r="J133" s="158"/>
      <c r="K133" s="158"/>
      <c r="L133" s="268"/>
      <c r="M133" s="157"/>
      <c r="N133" s="158"/>
      <c r="O133" s="158"/>
      <c r="P133" s="158"/>
      <c r="Q133" s="158"/>
      <c r="R133" s="158"/>
      <c r="S133" s="268"/>
      <c r="T133" s="157"/>
      <c r="U133" s="158"/>
      <c r="V133" s="158"/>
      <c r="W133" s="158"/>
      <c r="X133" s="158"/>
      <c r="Y133" s="158"/>
      <c r="Z133" s="268"/>
      <c r="AA133" s="157"/>
      <c r="AB133" s="158"/>
      <c r="AC133" s="158"/>
      <c r="AD133" s="158"/>
      <c r="AE133" s="158"/>
      <c r="AF133" s="158"/>
      <c r="AG133" s="268"/>
      <c r="AH133" s="56"/>
      <c r="AI133" s="56"/>
      <c r="AJ133" s="56"/>
    </row>
    <row r="134" spans="1:36" s="57" customFormat="1" ht="18" customHeight="1" outlineLevel="1" x14ac:dyDescent="0.25">
      <c r="A134" s="155"/>
      <c r="B134" s="153"/>
      <c r="C134" s="153"/>
      <c r="D134" s="263">
        <f t="shared" si="53"/>
        <v>0</v>
      </c>
      <c r="E134" s="59"/>
      <c r="F134" s="157"/>
      <c r="G134" s="158"/>
      <c r="H134" s="158"/>
      <c r="I134" s="158"/>
      <c r="J134" s="158"/>
      <c r="K134" s="158"/>
      <c r="L134" s="268"/>
      <c r="M134" s="157"/>
      <c r="N134" s="158"/>
      <c r="O134" s="158"/>
      <c r="P134" s="158"/>
      <c r="Q134" s="158"/>
      <c r="R134" s="158"/>
      <c r="S134" s="268"/>
      <c r="T134" s="157"/>
      <c r="U134" s="158"/>
      <c r="V134" s="158"/>
      <c r="W134" s="158"/>
      <c r="X134" s="158"/>
      <c r="Y134" s="158"/>
      <c r="Z134" s="268"/>
      <c r="AA134" s="157"/>
      <c r="AB134" s="158"/>
      <c r="AC134" s="158"/>
      <c r="AD134" s="158"/>
      <c r="AE134" s="158"/>
      <c r="AF134" s="158"/>
      <c r="AG134" s="268"/>
      <c r="AH134" s="56"/>
      <c r="AI134" s="56"/>
      <c r="AJ134" s="56"/>
    </row>
    <row r="135" spans="1:36" s="57" customFormat="1" ht="18" customHeight="1" outlineLevel="1" x14ac:dyDescent="0.25">
      <c r="A135" s="155"/>
      <c r="B135" s="153"/>
      <c r="C135" s="153"/>
      <c r="D135" s="263">
        <f t="shared" si="53"/>
        <v>0</v>
      </c>
      <c r="E135" s="59"/>
      <c r="F135" s="157"/>
      <c r="G135" s="158"/>
      <c r="H135" s="158"/>
      <c r="I135" s="158"/>
      <c r="J135" s="158"/>
      <c r="K135" s="158"/>
      <c r="L135" s="268"/>
      <c r="M135" s="157"/>
      <c r="N135" s="158"/>
      <c r="O135" s="158"/>
      <c r="P135" s="158"/>
      <c r="Q135" s="158"/>
      <c r="R135" s="158"/>
      <c r="S135" s="268"/>
      <c r="T135" s="157"/>
      <c r="U135" s="158"/>
      <c r="V135" s="158"/>
      <c r="W135" s="158"/>
      <c r="X135" s="158"/>
      <c r="Y135" s="158"/>
      <c r="Z135" s="268"/>
      <c r="AA135" s="157"/>
      <c r="AB135" s="158"/>
      <c r="AC135" s="158"/>
      <c r="AD135" s="158"/>
      <c r="AE135" s="158"/>
      <c r="AF135" s="158"/>
      <c r="AG135" s="268"/>
      <c r="AH135" s="56"/>
      <c r="AI135" s="56"/>
      <c r="AJ135" s="56"/>
    </row>
    <row r="136" spans="1:36" s="57" customFormat="1" ht="18" customHeight="1" outlineLevel="1" x14ac:dyDescent="0.25">
      <c r="A136" s="155"/>
      <c r="B136" s="153"/>
      <c r="C136" s="153"/>
      <c r="D136" s="263">
        <f t="shared" si="53"/>
        <v>0</v>
      </c>
      <c r="E136" s="59"/>
      <c r="F136" s="157"/>
      <c r="G136" s="158"/>
      <c r="H136" s="158"/>
      <c r="I136" s="158"/>
      <c r="J136" s="158"/>
      <c r="K136" s="158"/>
      <c r="L136" s="268"/>
      <c r="M136" s="157"/>
      <c r="N136" s="158"/>
      <c r="O136" s="158"/>
      <c r="P136" s="158"/>
      <c r="Q136" s="158"/>
      <c r="R136" s="158"/>
      <c r="S136" s="268"/>
      <c r="T136" s="157"/>
      <c r="U136" s="158"/>
      <c r="V136" s="158"/>
      <c r="W136" s="158"/>
      <c r="X136" s="158"/>
      <c r="Y136" s="158"/>
      <c r="Z136" s="268"/>
      <c r="AA136" s="157"/>
      <c r="AB136" s="158"/>
      <c r="AC136" s="158"/>
      <c r="AD136" s="158"/>
      <c r="AE136" s="158"/>
      <c r="AF136" s="158"/>
      <c r="AG136" s="268"/>
      <c r="AH136" s="56"/>
      <c r="AI136" s="56"/>
      <c r="AJ136" s="56"/>
    </row>
    <row r="137" spans="1:36" s="57" customFormat="1" ht="18" customHeight="1" outlineLevel="1" x14ac:dyDescent="0.25">
      <c r="A137" s="155"/>
      <c r="B137" s="153"/>
      <c r="C137" s="153"/>
      <c r="D137" s="263">
        <f t="shared" si="53"/>
        <v>0</v>
      </c>
      <c r="E137" s="59"/>
      <c r="F137" s="157"/>
      <c r="G137" s="158"/>
      <c r="H137" s="158"/>
      <c r="I137" s="158"/>
      <c r="J137" s="158"/>
      <c r="K137" s="158"/>
      <c r="L137" s="268"/>
      <c r="M137" s="157"/>
      <c r="N137" s="158"/>
      <c r="O137" s="158"/>
      <c r="P137" s="158"/>
      <c r="Q137" s="158"/>
      <c r="R137" s="158"/>
      <c r="S137" s="268"/>
      <c r="T137" s="157"/>
      <c r="U137" s="158"/>
      <c r="V137" s="158"/>
      <c r="W137" s="158"/>
      <c r="X137" s="158"/>
      <c r="Y137" s="158"/>
      <c r="Z137" s="268"/>
      <c r="AA137" s="157"/>
      <c r="AB137" s="158"/>
      <c r="AC137" s="158"/>
      <c r="AD137" s="158"/>
      <c r="AE137" s="158"/>
      <c r="AF137" s="158"/>
      <c r="AG137" s="268"/>
      <c r="AH137" s="56"/>
      <c r="AI137" s="56"/>
      <c r="AJ137" s="56"/>
    </row>
    <row r="138" spans="1:36" s="57" customFormat="1" ht="18" customHeight="1" outlineLevel="1" x14ac:dyDescent="0.25">
      <c r="A138" s="155"/>
      <c r="B138" s="153"/>
      <c r="C138" s="153"/>
      <c r="D138" s="263">
        <f t="shared" si="53"/>
        <v>0</v>
      </c>
      <c r="E138" s="59"/>
      <c r="F138" s="157"/>
      <c r="G138" s="158"/>
      <c r="H138" s="158"/>
      <c r="I138" s="158"/>
      <c r="J138" s="158"/>
      <c r="K138" s="158"/>
      <c r="L138" s="268"/>
      <c r="M138" s="157"/>
      <c r="N138" s="158"/>
      <c r="O138" s="158"/>
      <c r="P138" s="158"/>
      <c r="Q138" s="158"/>
      <c r="R138" s="158"/>
      <c r="S138" s="268"/>
      <c r="T138" s="157"/>
      <c r="U138" s="158"/>
      <c r="V138" s="158"/>
      <c r="W138" s="158"/>
      <c r="X138" s="158"/>
      <c r="Y138" s="158"/>
      <c r="Z138" s="268"/>
      <c r="AA138" s="157"/>
      <c r="AB138" s="158"/>
      <c r="AC138" s="158"/>
      <c r="AD138" s="158"/>
      <c r="AE138" s="158"/>
      <c r="AF138" s="158"/>
      <c r="AG138" s="268"/>
      <c r="AH138" s="56"/>
      <c r="AI138" s="56"/>
      <c r="AJ138" s="56"/>
    </row>
    <row r="139" spans="1:36" s="57" customFormat="1" ht="18" customHeight="1" outlineLevel="1" thickBot="1" x14ac:dyDescent="0.3">
      <c r="A139" s="156"/>
      <c r="B139" s="153"/>
      <c r="C139" s="153"/>
      <c r="D139" s="263">
        <f t="shared" si="53"/>
        <v>0</v>
      </c>
      <c r="E139" s="60"/>
      <c r="F139" s="157"/>
      <c r="G139" s="158"/>
      <c r="H139" s="158"/>
      <c r="I139" s="158"/>
      <c r="J139" s="158"/>
      <c r="K139" s="158"/>
      <c r="L139" s="269"/>
      <c r="M139" s="302"/>
      <c r="N139" s="158"/>
      <c r="O139" s="158"/>
      <c r="P139" s="158"/>
      <c r="Q139" s="158"/>
      <c r="R139" s="158"/>
      <c r="S139" s="269"/>
      <c r="T139" s="302"/>
      <c r="U139" s="158"/>
      <c r="V139" s="158"/>
      <c r="W139" s="158"/>
      <c r="X139" s="158"/>
      <c r="Y139" s="158"/>
      <c r="Z139" s="269"/>
      <c r="AA139" s="302"/>
      <c r="AB139" s="158"/>
      <c r="AC139" s="158"/>
      <c r="AD139" s="158"/>
      <c r="AE139" s="158"/>
      <c r="AF139" s="158"/>
      <c r="AG139" s="269"/>
      <c r="AH139" s="56"/>
      <c r="AI139" s="56"/>
      <c r="AJ139" s="56"/>
    </row>
    <row r="140" spans="1:36" s="250" customFormat="1" ht="27" thickTop="1" x14ac:dyDescent="0.25">
      <c r="A140" s="246" t="s">
        <v>33</v>
      </c>
      <c r="B140" s="246"/>
      <c r="C140" s="246"/>
      <c r="D140" s="246">
        <f>SUM(D7,D14,D33,D79,D129,D96,D120)</f>
        <v>0</v>
      </c>
      <c r="E140" s="246"/>
      <c r="F140" s="247"/>
      <c r="G140" s="247"/>
      <c r="H140" s="247"/>
      <c r="I140" s="247"/>
      <c r="J140" s="247"/>
      <c r="K140" s="247"/>
      <c r="L140" s="248"/>
      <c r="M140" s="247"/>
      <c r="N140" s="247"/>
      <c r="O140" s="247"/>
      <c r="P140" s="247"/>
      <c r="Q140" s="247"/>
      <c r="R140" s="247"/>
      <c r="S140" s="248"/>
      <c r="T140" s="247"/>
      <c r="U140" s="247"/>
      <c r="V140" s="247"/>
      <c r="W140" s="247"/>
      <c r="X140" s="247"/>
      <c r="Y140" s="247"/>
      <c r="Z140" s="248"/>
      <c r="AA140" s="247"/>
      <c r="AB140" s="247"/>
      <c r="AC140" s="247"/>
      <c r="AD140" s="247"/>
      <c r="AE140" s="247"/>
      <c r="AF140" s="247"/>
      <c r="AG140" s="247"/>
      <c r="AH140" s="249"/>
      <c r="AI140" s="249"/>
      <c r="AJ140" s="249"/>
    </row>
    <row r="141" spans="1:36" x14ac:dyDescent="0.25"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</row>
    <row r="142" spans="1:36" x14ac:dyDescent="0.25"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</row>
    <row r="143" spans="1:36" x14ac:dyDescent="0.25"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</row>
    <row r="144" spans="1:36" x14ac:dyDescent="0.25"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</row>
    <row r="145" spans="6:36" x14ac:dyDescent="0.25"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  <c r="AG145" s="18"/>
      <c r="AH145" s="18"/>
      <c r="AI145" s="18"/>
      <c r="AJ145" s="18"/>
    </row>
    <row r="146" spans="6:36" x14ac:dyDescent="0.25"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  <c r="AG146" s="18"/>
      <c r="AH146" s="18"/>
      <c r="AI146" s="18"/>
      <c r="AJ146" s="18"/>
    </row>
  </sheetData>
  <sheetProtection formatColumns="0" autoFilter="0"/>
  <dataConsolidate/>
  <mergeCells count="10">
    <mergeCell ref="T4:Z4"/>
    <mergeCell ref="AA4:AG4"/>
    <mergeCell ref="A1:AG1"/>
    <mergeCell ref="F3:L3"/>
    <mergeCell ref="M3:S3"/>
    <mergeCell ref="T3:Z3"/>
    <mergeCell ref="AA3:AG3"/>
    <mergeCell ref="A3:D5"/>
    <mergeCell ref="F4:L4"/>
    <mergeCell ref="M4:S4"/>
  </mergeCells>
  <conditionalFormatting sqref="F7:AG139">
    <cfRule type="containsText" priority="3" operator="containsText" text="x">
      <formula>NOT(ISERROR(SEARCH("x",F7)))</formula>
    </cfRule>
    <cfRule type="containsText" dxfId="4" priority="4" operator="containsText" text="х">
      <formula>NOT(ISERROR(SEARCH("х",F7)))</formula>
    </cfRule>
    <cfRule type="notContainsBlanks" dxfId="3" priority="20">
      <formula>LEN(TRIM(F7))&gt;0</formula>
    </cfRule>
  </conditionalFormatting>
  <conditionalFormatting sqref="AH6">
    <cfRule type="cellIs" dxfId="2" priority="24" operator="notEqual">
      <formula>$D$140</formula>
    </cfRule>
  </conditionalFormatting>
  <dataValidations count="1">
    <dataValidation type="list" allowBlank="1" showInputMessage="1" showErrorMessage="1" sqref="AA80:AF95 AA72:AF76 AA60:AF70 AA38:AF57 AA34:AF36 AA15:AF19 AA130:AF139 AA8:AF12 AA121:AF128 F8:K12 F15:K19 F34:K36 F38:K57 F60:K70 F72:K76 F80:K95 F97:K119 F121:K128 F130:K139 M130:R139 M15:R19 M34:R36 M38:R57 M60:R70 M72:R76 M80:R95 M97:R119 M121:R128 M8:R12 T8:Y12 T130:Y139 T15:Y19 T34:Y36 T38:Y57 T60:Y70 T72:Y76 T80:Y95 T97:Y119 T121:Y128 AA97:AF119 T21:Y32 M21:R32 F21:K32 AA21:AF32">
      <formula1>$AI$8</formula1>
    </dataValidation>
  </dataValidations>
  <hyperlinks>
    <hyperlink ref="A8" r:id="rId1"/>
    <hyperlink ref="A9" r:id="rId2"/>
    <hyperlink ref="A15" r:id="rId3"/>
    <hyperlink ref="A16" r:id="rId4"/>
    <hyperlink ref="A17" r:id="rId5"/>
    <hyperlink ref="A80" r:id="rId6"/>
    <hyperlink ref="A81" r:id="rId7"/>
    <hyperlink ref="A82" r:id="rId8"/>
    <hyperlink ref="A60" r:id="rId9"/>
    <hyperlink ref="A61" r:id="rId10"/>
    <hyperlink ref="A62" r:id="rId11"/>
    <hyperlink ref="A76" r:id="rId12" display="Звонарь в аренду (Последующий месяц)"/>
    <hyperlink ref="A27" r:id="rId13" display="Руководитель отдела продаж в аренду Стандарт"/>
    <hyperlink ref="A29" r:id="rId14" display="Руководитель отдела продаж в аренду ВИП"/>
    <hyperlink ref="A31" r:id="rId15" display="Руководитель отдела продаж в аренду ALL INCLUSIVE"/>
    <hyperlink ref="A65" r:id="rId16"/>
    <hyperlink ref="A67" r:id="rId17"/>
    <hyperlink ref="A69" r:id="rId18"/>
    <hyperlink ref="A72" r:id="rId19"/>
    <hyperlink ref="A73" r:id="rId20"/>
    <hyperlink ref="A74" r:id="rId21"/>
    <hyperlink ref="A90" r:id="rId22"/>
    <hyperlink ref="A92" r:id="rId23"/>
    <hyperlink ref="A94" r:id="rId24"/>
    <hyperlink ref="A34" r:id="rId25"/>
    <hyperlink ref="A35" r:id="rId26"/>
    <hyperlink ref="A36" r:id="rId27"/>
    <hyperlink ref="A37" r:id="rId28"/>
    <hyperlink ref="A48" r:id="rId29"/>
    <hyperlink ref="A49" r:id="rId30"/>
    <hyperlink ref="A50" r:id="rId31"/>
    <hyperlink ref="A116" r:id="rId32"/>
    <hyperlink ref="A20" r:id="rId33" display="Найм менеджера (конкурсный найм)"/>
    <hyperlink ref="A10" r:id="rId34"/>
    <hyperlink ref="A11" r:id="rId35"/>
    <hyperlink ref="A12" r:id="rId36"/>
    <hyperlink ref="A75" r:id="rId37"/>
    <hyperlink ref="A21" r:id="rId38" display="2 - 4 менеджера (15-25 кандидатов на собеседовании (в среднем))"/>
    <hyperlink ref="A22" r:id="rId39" display="1 Руководитель (40-60 кандидатов в 2 потока на собеседовании (в среднем))"/>
    <hyperlink ref="A28" r:id="rId40"/>
    <hyperlink ref="A30" r:id="rId41"/>
    <hyperlink ref="A32" r:id="rId42"/>
    <hyperlink ref="A66" r:id="rId43"/>
    <hyperlink ref="A68" r:id="rId44"/>
    <hyperlink ref="A70" r:id="rId45"/>
    <hyperlink ref="A91" r:id="rId46"/>
    <hyperlink ref="A93" r:id="rId47"/>
    <hyperlink ref="A95" r:id="rId48"/>
  </hyperlinks>
  <pageMargins left="0.7" right="0.7" top="0.75" bottom="0.75" header="0.3" footer="0.3"/>
  <pageSetup paperSize="9" orientation="portrait" r:id="rId49"/>
  <ignoredErrors>
    <ignoredError sqref="D129 D120 D96 D71 D37 D33 D20 M14 T14 AA14 M79 T79 AA79" formula="1"/>
  </ignoredErrors>
  <drawing r:id="rId50"/>
  <legacyDrawing r:id="rId5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2" name="Button 1">
              <controlPr defaultSize="0" print="0" autoFill="0" autoPict="0" macro="[0]!_xludf.Hide" altText="Скрыть номенклатуру со стоимостью 0">
                <anchor moveWithCells="1" sizeWithCells="1">
                  <from>
                    <xdr:col>0</xdr:col>
                    <xdr:colOff>361950</xdr:colOff>
                    <xdr:row>2</xdr:row>
                    <xdr:rowOff>123825</xdr:rowOff>
                  </from>
                  <to>
                    <xdr:col>0</xdr:col>
                    <xdr:colOff>2009775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3" name="Button 3">
              <controlPr defaultSize="0" print="0" autoFill="0" autoPict="0" macro="[0]!RowShow">
                <anchor moveWithCells="1" sizeWithCells="1">
                  <from>
                    <xdr:col>0</xdr:col>
                    <xdr:colOff>361950</xdr:colOff>
                    <xdr:row>3</xdr:row>
                    <xdr:rowOff>419100</xdr:rowOff>
                  </from>
                  <to>
                    <xdr:col>0</xdr:col>
                    <xdr:colOff>2009775</xdr:colOff>
                    <xdr:row>3</xdr:row>
                    <xdr:rowOff>857250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4" name="Button 4">
              <controlPr defaultSize="0" print="0" autoFill="0" autoPict="0" macro="[0]!RowHide" altText="Скрыть номенклатуру со стоимостью 0">
                <anchor moveWithCells="1" sizeWithCells="1">
                  <from>
                    <xdr:col>0</xdr:col>
                    <xdr:colOff>361950</xdr:colOff>
                    <xdr:row>2</xdr:row>
                    <xdr:rowOff>123825</xdr:rowOff>
                  </from>
                  <to>
                    <xdr:col>0</xdr:col>
                    <xdr:colOff>2009775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5" name="Button 5">
              <controlPr defaultSize="0" print="0" autoFill="0" autoPict="0" macro="[0]!_xludf.Hide">
                <anchor moveWithCells="1" sizeWithCells="1">
                  <from>
                    <xdr:col>0</xdr:col>
                    <xdr:colOff>2066925</xdr:colOff>
                    <xdr:row>2</xdr:row>
                    <xdr:rowOff>123825</xdr:rowOff>
                  </from>
                  <to>
                    <xdr:col>0</xdr:col>
                    <xdr:colOff>3714750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6" name="Button 6">
              <controlPr defaultSize="0" print="0" autoFill="0" autoPict="0" macro="[0]!Show">
                <anchor moveWithCells="1" sizeWithCells="1">
                  <from>
                    <xdr:col>0</xdr:col>
                    <xdr:colOff>2066925</xdr:colOff>
                    <xdr:row>3</xdr:row>
                    <xdr:rowOff>419100</xdr:rowOff>
                  </from>
                  <to>
                    <xdr:col>0</xdr:col>
                    <xdr:colOff>3714750</xdr:colOff>
                    <xdr:row>3</xdr:row>
                    <xdr:rowOff>857250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J141"/>
  <sheetViews>
    <sheetView zoomScaleNormal="100" workbookViewId="0">
      <selection activeCell="B23" sqref="B23"/>
    </sheetView>
  </sheetViews>
  <sheetFormatPr defaultRowHeight="15" x14ac:dyDescent="0.25"/>
  <cols>
    <col min="1" max="1" width="10.140625" bestFit="1" customWidth="1"/>
    <col min="2" max="2" width="137.85546875" bestFit="1" customWidth="1"/>
    <col min="4" max="4" width="75.85546875" bestFit="1" customWidth="1"/>
    <col min="5" max="5" width="11.28515625" bestFit="1" customWidth="1"/>
    <col min="6" max="6" width="12" bestFit="1" customWidth="1"/>
    <col min="7" max="7" width="12.7109375" bestFit="1" customWidth="1"/>
    <col min="8" max="8" width="12" bestFit="1" customWidth="1"/>
    <col min="9" max="14" width="8.42578125" bestFit="1" customWidth="1"/>
    <col min="15" max="15" width="14.85546875" bestFit="1" customWidth="1"/>
    <col min="16" max="21" width="8.42578125" bestFit="1" customWidth="1"/>
    <col min="22" max="22" width="14.85546875" bestFit="1" customWidth="1"/>
    <col min="23" max="28" width="8.42578125" bestFit="1" customWidth="1"/>
    <col min="29" max="29" width="14.85546875" bestFit="1" customWidth="1"/>
    <col min="30" max="35" width="8.42578125" bestFit="1" customWidth="1"/>
    <col min="36" max="36" width="14.85546875" bestFit="1" customWidth="1"/>
  </cols>
  <sheetData>
    <row r="1" spans="1:36" ht="46.5" x14ac:dyDescent="0.25">
      <c r="A1" s="197" t="s">
        <v>121</v>
      </c>
      <c r="D1" s="336" t="s">
        <v>74</v>
      </c>
      <c r="E1" s="336"/>
      <c r="F1" s="336"/>
      <c r="G1" s="336"/>
      <c r="H1" s="336"/>
      <c r="I1" s="336"/>
      <c r="J1" s="336"/>
      <c r="K1" s="336"/>
      <c r="L1" s="336"/>
      <c r="M1" s="336"/>
      <c r="N1" s="336"/>
      <c r="O1" s="336"/>
      <c r="P1" s="336"/>
      <c r="Q1" s="336"/>
      <c r="R1" s="336"/>
      <c r="S1" s="336"/>
      <c r="T1" s="336"/>
      <c r="U1" s="336"/>
      <c r="V1" s="336"/>
      <c r="W1" s="336"/>
      <c r="X1" s="336"/>
      <c r="Y1" s="336"/>
      <c r="Z1" s="336"/>
      <c r="AA1" s="336"/>
      <c r="AB1" s="336"/>
      <c r="AC1" s="336"/>
      <c r="AD1" s="336"/>
      <c r="AE1" s="336"/>
      <c r="AF1" s="336"/>
      <c r="AG1" s="336"/>
      <c r="AH1" s="336"/>
      <c r="AI1" s="336"/>
      <c r="AJ1" s="336"/>
    </row>
    <row r="2" spans="1:36" ht="27" thickBot="1" x14ac:dyDescent="0.3">
      <c r="A2" s="196">
        <v>44214</v>
      </c>
      <c r="D2" s="1"/>
      <c r="E2" s="2"/>
      <c r="F2" s="2"/>
      <c r="G2" s="2"/>
      <c r="H2" s="2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t="15.75" x14ac:dyDescent="0.25">
      <c r="A3" t="s">
        <v>118</v>
      </c>
      <c r="B3" t="s">
        <v>119</v>
      </c>
      <c r="D3" s="323"/>
      <c r="E3" s="324"/>
      <c r="F3" s="324"/>
      <c r="G3" s="324"/>
      <c r="H3" s="174" t="s">
        <v>26</v>
      </c>
      <c r="I3" s="310" t="s">
        <v>12</v>
      </c>
      <c r="J3" s="311"/>
      <c r="K3" s="311"/>
      <c r="L3" s="311"/>
      <c r="M3" s="311"/>
      <c r="N3" s="311"/>
      <c r="O3" s="312"/>
      <c r="P3" s="313" t="s">
        <v>11</v>
      </c>
      <c r="Q3" s="314"/>
      <c r="R3" s="314"/>
      <c r="S3" s="314"/>
      <c r="T3" s="314"/>
      <c r="U3" s="315"/>
      <c r="V3" s="316"/>
      <c r="W3" s="317" t="s">
        <v>21</v>
      </c>
      <c r="X3" s="318"/>
      <c r="Y3" s="318"/>
      <c r="Z3" s="318"/>
      <c r="AA3" s="318"/>
      <c r="AB3" s="318"/>
      <c r="AC3" s="319"/>
      <c r="AD3" s="320" t="s">
        <v>16</v>
      </c>
      <c r="AE3" s="321"/>
      <c r="AF3" s="321"/>
      <c r="AG3" s="321"/>
      <c r="AH3" s="321"/>
      <c r="AI3" s="321"/>
      <c r="AJ3" s="322"/>
    </row>
    <row r="4" spans="1:36" ht="31.5" x14ac:dyDescent="0.25">
      <c r="A4" t="s">
        <v>120</v>
      </c>
      <c r="B4" t="s">
        <v>127</v>
      </c>
      <c r="D4" s="325"/>
      <c r="E4" s="326"/>
      <c r="F4" s="326"/>
      <c r="G4" s="326"/>
      <c r="H4" s="175" t="s">
        <v>15</v>
      </c>
      <c r="I4" s="329" t="s">
        <v>18</v>
      </c>
      <c r="J4" s="330"/>
      <c r="K4" s="330"/>
      <c r="L4" s="330"/>
      <c r="M4" s="330"/>
      <c r="N4" s="330"/>
      <c r="O4" s="331"/>
      <c r="P4" s="332" t="s">
        <v>19</v>
      </c>
      <c r="Q4" s="333"/>
      <c r="R4" s="333"/>
      <c r="S4" s="333"/>
      <c r="T4" s="333"/>
      <c r="U4" s="334"/>
      <c r="V4" s="335"/>
      <c r="W4" s="303" t="s">
        <v>20</v>
      </c>
      <c r="X4" s="304"/>
      <c r="Y4" s="304"/>
      <c r="Z4" s="304"/>
      <c r="AA4" s="304"/>
      <c r="AB4" s="304"/>
      <c r="AC4" s="305"/>
      <c r="AD4" s="306" t="s">
        <v>22</v>
      </c>
      <c r="AE4" s="307"/>
      <c r="AF4" s="307"/>
      <c r="AG4" s="307"/>
      <c r="AH4" s="307"/>
      <c r="AI4" s="307"/>
      <c r="AJ4" s="308"/>
    </row>
    <row r="5" spans="1:36" ht="31.5" x14ac:dyDescent="0.25">
      <c r="A5" t="s">
        <v>123</v>
      </c>
      <c r="D5" s="327"/>
      <c r="E5" s="328"/>
      <c r="F5" s="328"/>
      <c r="G5" s="328"/>
      <c r="H5" s="47" t="s">
        <v>2</v>
      </c>
      <c r="I5" s="161" t="s">
        <v>9</v>
      </c>
      <c r="J5" s="162" t="s">
        <v>9</v>
      </c>
      <c r="K5" s="162" t="s">
        <v>9</v>
      </c>
      <c r="L5" s="162" t="s">
        <v>9</v>
      </c>
      <c r="M5" s="162" t="s">
        <v>9</v>
      </c>
      <c r="N5" s="162" t="s">
        <v>9</v>
      </c>
      <c r="O5" s="142" t="s">
        <v>17</v>
      </c>
      <c r="P5" s="164" t="s">
        <v>9</v>
      </c>
      <c r="Q5" s="165" t="s">
        <v>9</v>
      </c>
      <c r="R5" s="165" t="s">
        <v>9</v>
      </c>
      <c r="S5" s="165" t="s">
        <v>9</v>
      </c>
      <c r="T5" s="165" t="s">
        <v>9</v>
      </c>
      <c r="U5" s="165" t="s">
        <v>9</v>
      </c>
      <c r="V5" s="142" t="s">
        <v>17</v>
      </c>
      <c r="W5" s="168" t="s">
        <v>9</v>
      </c>
      <c r="X5" s="169" t="s">
        <v>9</v>
      </c>
      <c r="Y5" s="169" t="s">
        <v>9</v>
      </c>
      <c r="Z5" s="169" t="s">
        <v>9</v>
      </c>
      <c r="AA5" s="169" t="s">
        <v>9</v>
      </c>
      <c r="AB5" s="169" t="s">
        <v>9</v>
      </c>
      <c r="AC5" s="142" t="s">
        <v>17</v>
      </c>
      <c r="AD5" s="171" t="s">
        <v>9</v>
      </c>
      <c r="AE5" s="172" t="s">
        <v>9</v>
      </c>
      <c r="AF5" s="172" t="s">
        <v>9</v>
      </c>
      <c r="AG5" s="172" t="s">
        <v>9</v>
      </c>
      <c r="AH5" s="172" t="s">
        <v>9</v>
      </c>
      <c r="AI5" s="172" t="s">
        <v>9</v>
      </c>
      <c r="AJ5" s="183" t="s">
        <v>17</v>
      </c>
    </row>
    <row r="6" spans="1:36" ht="32.25" thickBot="1" x14ac:dyDescent="0.3">
      <c r="A6" t="s">
        <v>122</v>
      </c>
      <c r="B6" t="s">
        <v>124</v>
      </c>
      <c r="D6" s="109" t="s">
        <v>25</v>
      </c>
      <c r="E6" s="110" t="s">
        <v>3</v>
      </c>
      <c r="F6" s="141" t="s">
        <v>23</v>
      </c>
      <c r="G6" s="110" t="s">
        <v>24</v>
      </c>
      <c r="H6" s="49"/>
      <c r="I6" s="163">
        <v>0</v>
      </c>
      <c r="J6" s="163">
        <v>0</v>
      </c>
      <c r="K6" s="163">
        <v>0</v>
      </c>
      <c r="L6" s="163">
        <v>0</v>
      </c>
      <c r="M6" s="163">
        <v>0</v>
      </c>
      <c r="N6" s="163">
        <v>0</v>
      </c>
      <c r="O6" s="144">
        <f>SUM(I6:N6)</f>
        <v>0</v>
      </c>
      <c r="P6" s="166">
        <v>0</v>
      </c>
      <c r="Q6" s="167">
        <v>0</v>
      </c>
      <c r="R6" s="167">
        <v>0</v>
      </c>
      <c r="S6" s="167">
        <v>0</v>
      </c>
      <c r="T6" s="167">
        <v>0</v>
      </c>
      <c r="U6" s="167">
        <v>0</v>
      </c>
      <c r="V6" s="143">
        <f>SUM(P6:U6)</f>
        <v>0</v>
      </c>
      <c r="W6" s="170">
        <v>0</v>
      </c>
      <c r="X6" s="170">
        <v>0</v>
      </c>
      <c r="Y6" s="170">
        <v>0</v>
      </c>
      <c r="Z6" s="170">
        <v>0</v>
      </c>
      <c r="AA6" s="170">
        <v>0</v>
      </c>
      <c r="AB6" s="170">
        <v>0</v>
      </c>
      <c r="AC6" s="143">
        <f>SUM(W6:AB6)</f>
        <v>0</v>
      </c>
      <c r="AD6" s="187">
        <v>0</v>
      </c>
      <c r="AE6" s="173">
        <v>0</v>
      </c>
      <c r="AF6" s="173">
        <v>0</v>
      </c>
      <c r="AG6" s="173">
        <v>0</v>
      </c>
      <c r="AH6" s="173">
        <v>0</v>
      </c>
      <c r="AI6" s="173">
        <v>0</v>
      </c>
      <c r="AJ6" s="184">
        <f>SUM(AD6:AI6)</f>
        <v>0</v>
      </c>
    </row>
    <row r="7" spans="1:36" ht="24" thickBot="1" x14ac:dyDescent="0.3">
      <c r="A7" t="s">
        <v>125</v>
      </c>
      <c r="B7" t="s">
        <v>126</v>
      </c>
      <c r="D7" s="94" t="s">
        <v>34</v>
      </c>
      <c r="E7" s="95"/>
      <c r="F7" s="86"/>
      <c r="G7" s="87">
        <f>SUM(G8:G12)</f>
        <v>0</v>
      </c>
      <c r="H7" s="85"/>
      <c r="I7" s="88" t="str">
        <f>IF(CONCATENATE(I8,I9,I10,I11,I12,I13)&gt;" ","х"," ")</f>
        <v xml:space="preserve"> </v>
      </c>
      <c r="J7" s="89" t="str">
        <f>IF(CONCATENATE(J8,J9,J10,J11,J12,J13)&gt;" ","х"," ")</f>
        <v xml:space="preserve"> </v>
      </c>
      <c r="K7" s="89" t="str">
        <f t="shared" ref="K7:O7" si="0">IF(CONCATENATE(K8,K9,K10,K11,K12,K13)&gt;" ","х"," ")</f>
        <v xml:space="preserve"> </v>
      </c>
      <c r="L7" s="89" t="str">
        <f t="shared" si="0"/>
        <v xml:space="preserve"> </v>
      </c>
      <c r="M7" s="89" t="str">
        <f t="shared" si="0"/>
        <v xml:space="preserve"> </v>
      </c>
      <c r="N7" s="89" t="str">
        <f t="shared" si="0"/>
        <v xml:space="preserve"> </v>
      </c>
      <c r="O7" s="176" t="str">
        <f t="shared" si="0"/>
        <v xml:space="preserve"> </v>
      </c>
      <c r="P7" s="88" t="str">
        <f>IF(CONCATENATE(P8,P9,P10,P11,P12,P13)&gt;" ","х"," ")</f>
        <v xml:space="preserve"> </v>
      </c>
      <c r="Q7" s="89" t="str">
        <f>IF(CONCATENATE(Q8,Q9,Q10,Q11,Q12,Q13)&gt;" ","х"," ")</f>
        <v xml:space="preserve"> </v>
      </c>
      <c r="R7" s="89" t="str">
        <f t="shared" ref="R7:V7" si="1">IF(CONCATENATE(R8,R9,R10,R11,R12,R13)&gt;" ","х"," ")</f>
        <v xml:space="preserve"> </v>
      </c>
      <c r="S7" s="89" t="str">
        <f t="shared" si="1"/>
        <v xml:space="preserve"> </v>
      </c>
      <c r="T7" s="89" t="str">
        <f t="shared" si="1"/>
        <v xml:space="preserve"> </v>
      </c>
      <c r="U7" s="89" t="str">
        <f t="shared" si="1"/>
        <v xml:space="preserve"> </v>
      </c>
      <c r="V7" s="176" t="str">
        <f t="shared" si="1"/>
        <v xml:space="preserve"> </v>
      </c>
      <c r="W7" s="88" t="str">
        <f>IF(CONCATENATE(W8,W9,W10,W11,W12,W13)&gt;" ","х"," ")</f>
        <v xml:space="preserve"> </v>
      </c>
      <c r="X7" s="89" t="str">
        <f>IF(CONCATENATE(X8,X9,X10,X11,X12,X13)&gt;" ","х"," ")</f>
        <v xml:space="preserve"> </v>
      </c>
      <c r="Y7" s="89" t="str">
        <f t="shared" ref="Y7:AC7" si="2">IF(CONCATENATE(Y8,Y9,Y10,Y11,Y12,Y13)&gt;" ","х"," ")</f>
        <v xml:space="preserve"> </v>
      </c>
      <c r="Z7" s="89" t="str">
        <f t="shared" si="2"/>
        <v xml:space="preserve"> </v>
      </c>
      <c r="AA7" s="89" t="str">
        <f t="shared" si="2"/>
        <v xml:space="preserve"> </v>
      </c>
      <c r="AB7" s="89" t="str">
        <f t="shared" si="2"/>
        <v xml:space="preserve"> </v>
      </c>
      <c r="AC7" s="176" t="str">
        <f t="shared" si="2"/>
        <v xml:space="preserve"> </v>
      </c>
      <c r="AD7" s="88" t="str">
        <f>IF(CONCATENATE(AD8,AD9,AD10,AD11,AD12,AD13)&gt;" ","х"," ")</f>
        <v xml:space="preserve"> </v>
      </c>
      <c r="AE7" s="89" t="str">
        <f>IF(CONCATENATE(AE8,AE9,AE10,AE11,AE12,AE13)&gt;" ","х"," ")</f>
        <v xml:space="preserve"> </v>
      </c>
      <c r="AF7" s="89" t="str">
        <f t="shared" ref="AF7:AJ7" si="3">IF(CONCATENATE(AF8,AF9,AF10,AF11,AF12,AF13)&gt;" ","х"," ")</f>
        <v xml:space="preserve"> </v>
      </c>
      <c r="AG7" s="89" t="str">
        <f t="shared" si="3"/>
        <v xml:space="preserve"> </v>
      </c>
      <c r="AH7" s="89" t="str">
        <f t="shared" si="3"/>
        <v xml:space="preserve"> </v>
      </c>
      <c r="AI7" s="89" t="str">
        <f t="shared" si="3"/>
        <v xml:space="preserve"> </v>
      </c>
      <c r="AJ7" s="181" t="str">
        <f t="shared" si="3"/>
        <v xml:space="preserve"> </v>
      </c>
    </row>
    <row r="8" spans="1:36" x14ac:dyDescent="0.25">
      <c r="A8" s="196">
        <v>44238</v>
      </c>
      <c r="D8" s="111" t="s">
        <v>90</v>
      </c>
      <c r="E8" s="112">
        <v>450000</v>
      </c>
      <c r="F8" s="147"/>
      <c r="G8" s="112">
        <f>E8*F8</f>
        <v>0</v>
      </c>
      <c r="H8" s="25"/>
      <c r="I8" s="145"/>
      <c r="J8" s="146"/>
      <c r="K8" s="146"/>
      <c r="L8" s="146"/>
      <c r="M8" s="146"/>
      <c r="N8" s="146"/>
      <c r="O8" s="177"/>
      <c r="P8" s="145"/>
      <c r="Q8" s="146"/>
      <c r="R8" s="146"/>
      <c r="S8" s="146"/>
      <c r="T8" s="146"/>
      <c r="U8" s="146"/>
      <c r="V8" s="177"/>
      <c r="W8" s="145"/>
      <c r="X8" s="146"/>
      <c r="Y8" s="146"/>
      <c r="Z8" s="146"/>
      <c r="AA8" s="146"/>
      <c r="AB8" s="146"/>
      <c r="AC8" s="177"/>
      <c r="AD8" s="145"/>
      <c r="AE8" s="146"/>
      <c r="AF8" s="146"/>
      <c r="AG8" s="146"/>
      <c r="AH8" s="146"/>
      <c r="AI8" s="146"/>
      <c r="AJ8" s="186"/>
    </row>
    <row r="9" spans="1:36" x14ac:dyDescent="0.25">
      <c r="A9" t="s">
        <v>118</v>
      </c>
      <c r="B9" t="s">
        <v>128</v>
      </c>
      <c r="D9" s="111" t="s">
        <v>89</v>
      </c>
      <c r="E9" s="112">
        <v>350000</v>
      </c>
      <c r="F9" s="147"/>
      <c r="G9" s="112">
        <f>E9*F9</f>
        <v>0</v>
      </c>
      <c r="H9" s="25"/>
      <c r="I9" s="145"/>
      <c r="J9" s="146"/>
      <c r="K9" s="146"/>
      <c r="L9" s="146"/>
      <c r="M9" s="146"/>
      <c r="N9" s="146"/>
      <c r="O9" s="177"/>
      <c r="P9" s="145"/>
      <c r="Q9" s="146"/>
      <c r="R9" s="146"/>
      <c r="S9" s="146"/>
      <c r="T9" s="146"/>
      <c r="U9" s="146"/>
      <c r="V9" s="177"/>
      <c r="W9" s="145"/>
      <c r="X9" s="146"/>
      <c r="Y9" s="146"/>
      <c r="Z9" s="146"/>
      <c r="AA9" s="146"/>
      <c r="AB9" s="146"/>
      <c r="AC9" s="177"/>
      <c r="AD9" s="145"/>
      <c r="AE9" s="146"/>
      <c r="AF9" s="146"/>
      <c r="AG9" s="146"/>
      <c r="AH9" s="146"/>
      <c r="AI9" s="146"/>
      <c r="AJ9" s="186"/>
    </row>
    <row r="10" spans="1:36" x14ac:dyDescent="0.25">
      <c r="A10" t="s">
        <v>129</v>
      </c>
      <c r="B10" t="s">
        <v>130</v>
      </c>
      <c r="D10" s="111" t="s">
        <v>93</v>
      </c>
      <c r="E10" s="112">
        <v>35000</v>
      </c>
      <c r="F10" s="147"/>
      <c r="G10" s="114">
        <f t="shared" ref="G10:G11" si="4">E10*F10</f>
        <v>0</v>
      </c>
      <c r="H10" s="25"/>
      <c r="I10" s="145"/>
      <c r="J10" s="146"/>
      <c r="K10" s="146"/>
      <c r="L10" s="146"/>
      <c r="M10" s="146"/>
      <c r="N10" s="146"/>
      <c r="O10" s="177"/>
      <c r="P10" s="145"/>
      <c r="Q10" s="146"/>
      <c r="R10" s="146"/>
      <c r="S10" s="146"/>
      <c r="T10" s="146"/>
      <c r="U10" s="146"/>
      <c r="V10" s="177"/>
      <c r="W10" s="145"/>
      <c r="X10" s="146"/>
      <c r="Y10" s="146"/>
      <c r="Z10" s="146"/>
      <c r="AA10" s="146"/>
      <c r="AB10" s="146"/>
      <c r="AC10" s="177"/>
      <c r="AD10" s="145"/>
      <c r="AE10" s="146"/>
      <c r="AF10" s="146"/>
      <c r="AG10" s="146"/>
      <c r="AH10" s="146"/>
      <c r="AI10" s="146"/>
      <c r="AJ10" s="186"/>
    </row>
    <row r="11" spans="1:36" x14ac:dyDescent="0.25">
      <c r="A11" s="196">
        <v>44257</v>
      </c>
      <c r="D11" s="111" t="s">
        <v>92</v>
      </c>
      <c r="E11" s="112">
        <v>180000</v>
      </c>
      <c r="F11" s="147"/>
      <c r="G11" s="114">
        <f t="shared" si="4"/>
        <v>0</v>
      </c>
      <c r="H11" s="25"/>
      <c r="I11" s="145"/>
      <c r="J11" s="146"/>
      <c r="K11" s="146"/>
      <c r="L11" s="146"/>
      <c r="M11" s="146"/>
      <c r="N11" s="146"/>
      <c r="O11" s="177"/>
      <c r="P11" s="145"/>
      <c r="Q11" s="146"/>
      <c r="R11" s="146"/>
      <c r="S11" s="146"/>
      <c r="T11" s="146"/>
      <c r="U11" s="146"/>
      <c r="V11" s="177"/>
      <c r="W11" s="145"/>
      <c r="X11" s="146"/>
      <c r="Y11" s="146"/>
      <c r="Z11" s="146"/>
      <c r="AA11" s="146"/>
      <c r="AB11" s="146"/>
      <c r="AC11" s="177"/>
      <c r="AD11" s="145"/>
      <c r="AE11" s="146"/>
      <c r="AF11" s="146"/>
      <c r="AG11" s="146"/>
      <c r="AH11" s="146"/>
      <c r="AI11" s="146"/>
      <c r="AJ11" s="186"/>
    </row>
    <row r="12" spans="1:36" x14ac:dyDescent="0.25">
      <c r="A12" t="s">
        <v>118</v>
      </c>
      <c r="B12" t="s">
        <v>131</v>
      </c>
      <c r="D12" s="113" t="s">
        <v>91</v>
      </c>
      <c r="E12" s="114">
        <v>320000</v>
      </c>
      <c r="F12" s="148"/>
      <c r="G12" s="114">
        <f>E12*F12</f>
        <v>0</v>
      </c>
      <c r="H12" s="11"/>
      <c r="I12" s="145"/>
      <c r="J12" s="146"/>
      <c r="K12" s="146"/>
      <c r="L12" s="146"/>
      <c r="M12" s="146"/>
      <c r="N12" s="146"/>
      <c r="O12" s="177"/>
      <c r="P12" s="145"/>
      <c r="Q12" s="146"/>
      <c r="R12" s="146"/>
      <c r="S12" s="146"/>
      <c r="T12" s="146"/>
      <c r="U12" s="146"/>
      <c r="V12" s="177"/>
      <c r="W12" s="145"/>
      <c r="X12" s="146"/>
      <c r="Y12" s="146"/>
      <c r="Z12" s="146"/>
      <c r="AA12" s="146"/>
      <c r="AB12" s="146"/>
      <c r="AC12" s="177"/>
      <c r="AD12" s="145"/>
      <c r="AE12" s="146"/>
      <c r="AF12" s="146"/>
      <c r="AG12" s="146"/>
      <c r="AH12" s="146"/>
      <c r="AI12" s="146"/>
      <c r="AJ12" s="186"/>
    </row>
    <row r="13" spans="1:36" ht="21.75" thickBot="1" x14ac:dyDescent="0.3">
      <c r="A13" t="s">
        <v>120</v>
      </c>
      <c r="B13" t="s">
        <v>132</v>
      </c>
      <c r="D13" s="115"/>
      <c r="E13" s="116"/>
      <c r="F13" s="19"/>
      <c r="G13" s="116"/>
      <c r="H13" s="20"/>
      <c r="I13" s="43"/>
      <c r="J13" s="44"/>
      <c r="K13" s="44"/>
      <c r="L13" s="44"/>
      <c r="M13" s="44"/>
      <c r="N13" s="44"/>
      <c r="O13" s="178"/>
      <c r="P13" s="41"/>
      <c r="Q13" s="42"/>
      <c r="R13" s="42"/>
      <c r="S13" s="42"/>
      <c r="T13" s="42"/>
      <c r="U13" s="42"/>
      <c r="V13" s="177"/>
      <c r="W13" s="43"/>
      <c r="X13" s="44"/>
      <c r="Y13" s="44"/>
      <c r="Z13" s="44"/>
      <c r="AA13" s="44"/>
      <c r="AB13" s="44"/>
      <c r="AC13" s="178"/>
      <c r="AD13" s="43"/>
      <c r="AE13" s="45"/>
      <c r="AF13" s="45"/>
      <c r="AG13" s="44"/>
      <c r="AH13" s="44"/>
      <c r="AI13" s="44"/>
      <c r="AJ13" s="178"/>
    </row>
    <row r="14" spans="1:36" ht="24" thickBot="1" x14ac:dyDescent="0.3">
      <c r="A14" s="196">
        <v>44265</v>
      </c>
      <c r="D14" s="94" t="s">
        <v>1</v>
      </c>
      <c r="E14" s="95"/>
      <c r="F14" s="86"/>
      <c r="G14" s="87">
        <f>SUM(G15:G20,G24:G33)</f>
        <v>0</v>
      </c>
      <c r="H14" s="85"/>
      <c r="I14" s="88" t="str">
        <f>IF(CONCATENATE(I15,I16,I17,I20,I24,I28,I18,I25,I26,I19,I27,I30,I32)&gt;" ","х"," ")</f>
        <v xml:space="preserve"> </v>
      </c>
      <c r="J14" s="89" t="str">
        <f>IF(CONCATENATE(J15,J16,J25,J26,J17,J20,J18,J19,J27,J30,J24,J28,J32)&gt;" ","х"," ")</f>
        <v xml:space="preserve"> </v>
      </c>
      <c r="K14" s="89" t="str">
        <f t="shared" ref="K14:N14" si="5">IF(CONCATENATE(K15,K16,K25,K26,K17,K20,K18,K19,K27,K30,K24,K28,K32)&gt;" ","х"," ")</f>
        <v xml:space="preserve"> </v>
      </c>
      <c r="L14" s="89" t="str">
        <f t="shared" si="5"/>
        <v xml:space="preserve"> </v>
      </c>
      <c r="M14" s="89" t="str">
        <f t="shared" si="5"/>
        <v xml:space="preserve"> </v>
      </c>
      <c r="N14" s="89" t="str">
        <f t="shared" si="5"/>
        <v xml:space="preserve"> </v>
      </c>
      <c r="O14" s="176" t="str">
        <f>IF(CONCATENATE(O15,O16,O25,O26,O17,O20,O18,O19,O27,O30,O24,O28,O32)&gt;" ","х"," ")</f>
        <v xml:space="preserve"> </v>
      </c>
      <c r="P14" s="88" t="str">
        <f>IF(CONCATENATE(P15,P16,P17,P20,P24,P28,P18,P25,P26,P19,P27,P30,P32)&gt;" ","х"," ")</f>
        <v xml:space="preserve"> </v>
      </c>
      <c r="Q14" s="89" t="str">
        <f>IF(CONCATENATE(Q15,Q16,Q25,Q26,Q17,Q20,Q18,Q19,Q27,Q30,Q24,Q28,Q32)&gt;" ","х"," ")</f>
        <v xml:space="preserve"> </v>
      </c>
      <c r="R14" s="89" t="str">
        <f t="shared" ref="R14:V14" si="6">IF(CONCATENATE(R15,R16,R25,R26,R17,R20,R18,R19,R27,R30,R24,R28,R32)&gt;" ","х"," ")</f>
        <v xml:space="preserve"> </v>
      </c>
      <c r="S14" s="89" t="str">
        <f t="shared" si="6"/>
        <v xml:space="preserve"> </v>
      </c>
      <c r="T14" s="89" t="str">
        <f>IF(CONCATENATE(T15,T16,T25,T26,T17,T20,T18,T19,T27,T30,T24,T28,T32)&gt;" ","х"," ")</f>
        <v xml:space="preserve"> </v>
      </c>
      <c r="U14" s="89" t="str">
        <f t="shared" si="6"/>
        <v xml:space="preserve"> </v>
      </c>
      <c r="V14" s="176" t="str">
        <f t="shared" si="6"/>
        <v xml:space="preserve"> </v>
      </c>
      <c r="W14" s="88" t="str">
        <f>IF(CONCATENATE(W15,W16,W17,W20,W24,W28,W18,W25,W26,W19,W27,W30,W32)&gt;" ","х"," ")</f>
        <v xml:space="preserve"> </v>
      </c>
      <c r="X14" s="89" t="str">
        <f>IF(CONCATENATE(X15,X16,X25,X26,X17,X20,X18,X19,X27,X30,X24,X28,X32)&gt;" ","х"," ")</f>
        <v xml:space="preserve"> </v>
      </c>
      <c r="Y14" s="89" t="str">
        <f t="shared" ref="Y14:AB14" si="7">IF(CONCATENATE(Y15,Y16,Y25,Y26,Y17,Y20,Y18,Y19,Y27,Y30,Y24,Y28,Y32)&gt;" ","х"," ")</f>
        <v xml:space="preserve"> </v>
      </c>
      <c r="Z14" s="89" t="str">
        <f t="shared" si="7"/>
        <v xml:space="preserve"> </v>
      </c>
      <c r="AA14" s="89" t="str">
        <f>IF(CONCATENATE(AA15,AA16,AA25,AA26,AA17,AA20,AA18,AA19,AA27,AA30,AA24,AA28,AA32)&gt;" ","х"," ")</f>
        <v xml:space="preserve"> </v>
      </c>
      <c r="AB14" s="89" t="str">
        <f t="shared" si="7"/>
        <v xml:space="preserve"> </v>
      </c>
      <c r="AC14" s="176" t="str">
        <f>IF(CONCATENATE(AC15,AC16,AC25,AC26,AC17,AC20,AC18,AC19,AC27,AC30,AC24,AC28,AC32)&gt;" ","х"," ")</f>
        <v xml:space="preserve"> </v>
      </c>
      <c r="AD14" s="88" t="str">
        <f>IF(CONCATENATE(AD15,AD16,AD17,AD20,AD24,AD28,AD18,AD25,AD26,AD19,AD27,AD30,AD32)&gt;" ","х"," ")</f>
        <v xml:space="preserve"> </v>
      </c>
      <c r="AE14" s="89" t="str">
        <f>IF(CONCATENATE(AE15,AE16,AE25,AE26,AE17,AE20,AE18,AE19,AE27,AE30,AE24,AE28,AE32)&gt;" ","х"," ")</f>
        <v xml:space="preserve"> </v>
      </c>
      <c r="AF14" s="89" t="str">
        <f t="shared" ref="AF14:AI14" si="8">IF(CONCATENATE(AF15,AF16,AF25,AF26,AF17,AF20,AF18,AF19,AF27,AF30,AF24,AF28,AF32)&gt;" ","х"," ")</f>
        <v xml:space="preserve"> </v>
      </c>
      <c r="AG14" s="89" t="str">
        <f t="shared" si="8"/>
        <v xml:space="preserve"> </v>
      </c>
      <c r="AH14" s="89" t="str">
        <f t="shared" si="8"/>
        <v xml:space="preserve"> </v>
      </c>
      <c r="AI14" s="89" t="str">
        <f t="shared" si="8"/>
        <v xml:space="preserve"> </v>
      </c>
      <c r="AJ14" s="181" t="str">
        <f>IF(CONCATENATE(AJ15,AJ16,AJ25,AJ26,AJ17,AJ20,AJ18,AJ19,AJ27,AJ30,AJ24,AJ28,AJ32)&gt;" ","х"," ")</f>
        <v xml:space="preserve"> </v>
      </c>
    </row>
    <row r="15" spans="1:36" x14ac:dyDescent="0.25">
      <c r="A15" t="s">
        <v>118</v>
      </c>
      <c r="B15" t="s">
        <v>133</v>
      </c>
      <c r="D15" s="111" t="s">
        <v>77</v>
      </c>
      <c r="E15" s="112">
        <v>90000</v>
      </c>
      <c r="F15" s="147"/>
      <c r="G15" s="112">
        <f>E15*F15</f>
        <v>0</v>
      </c>
      <c r="H15" s="25"/>
      <c r="I15" s="157"/>
      <c r="J15" s="158"/>
      <c r="K15" s="158"/>
      <c r="L15" s="158"/>
      <c r="M15" s="158"/>
      <c r="N15" s="158"/>
      <c r="O15" s="177"/>
      <c r="P15" s="157"/>
      <c r="Q15" s="158"/>
      <c r="R15" s="158"/>
      <c r="S15" s="158"/>
      <c r="T15" s="158"/>
      <c r="U15" s="158"/>
      <c r="V15" s="177"/>
      <c r="W15" s="157"/>
      <c r="X15" s="158"/>
      <c r="Y15" s="158"/>
      <c r="Z15" s="158"/>
      <c r="AA15" s="158"/>
      <c r="AB15" s="158"/>
      <c r="AC15" s="177"/>
      <c r="AD15" s="157"/>
      <c r="AE15" s="158"/>
      <c r="AF15" s="158"/>
      <c r="AG15" s="158"/>
      <c r="AH15" s="158"/>
      <c r="AI15" s="158"/>
      <c r="AJ15" s="186"/>
    </row>
    <row r="16" spans="1:36" x14ac:dyDescent="0.25">
      <c r="A16" t="s">
        <v>120</v>
      </c>
      <c r="B16" t="s">
        <v>134</v>
      </c>
      <c r="D16" s="111" t="s">
        <v>76</v>
      </c>
      <c r="E16" s="112">
        <v>155000</v>
      </c>
      <c r="F16" s="147"/>
      <c r="G16" s="112">
        <f t="shared" ref="G16:G19" si="9">E16*F16</f>
        <v>0</v>
      </c>
      <c r="H16" s="25"/>
      <c r="I16" s="157"/>
      <c r="J16" s="158"/>
      <c r="K16" s="158"/>
      <c r="L16" s="158"/>
      <c r="M16" s="158"/>
      <c r="N16" s="158"/>
      <c r="O16" s="177"/>
      <c r="P16" s="157"/>
      <c r="Q16" s="158"/>
      <c r="R16" s="158"/>
      <c r="S16" s="158"/>
      <c r="T16" s="158"/>
      <c r="U16" s="158"/>
      <c r="V16" s="177"/>
      <c r="W16" s="157"/>
      <c r="X16" s="158"/>
      <c r="Y16" s="158"/>
      <c r="Z16" s="158"/>
      <c r="AA16" s="158"/>
      <c r="AB16" s="158"/>
      <c r="AC16" s="177"/>
      <c r="AD16" s="157"/>
      <c r="AE16" s="158"/>
      <c r="AF16" s="158"/>
      <c r="AG16" s="158"/>
      <c r="AH16" s="158"/>
      <c r="AI16" s="158"/>
      <c r="AJ16" s="186"/>
    </row>
    <row r="17" spans="1:36" x14ac:dyDescent="0.25">
      <c r="A17" t="s">
        <v>135</v>
      </c>
      <c r="B17" t="s">
        <v>136</v>
      </c>
      <c r="D17" s="111" t="s">
        <v>75</v>
      </c>
      <c r="E17" s="112">
        <v>255000</v>
      </c>
      <c r="F17" s="147"/>
      <c r="G17" s="112">
        <f t="shared" si="9"/>
        <v>0</v>
      </c>
      <c r="H17" s="25"/>
      <c r="I17" s="157"/>
      <c r="J17" s="158"/>
      <c r="K17" s="158"/>
      <c r="L17" s="158"/>
      <c r="M17" s="158"/>
      <c r="N17" s="158"/>
      <c r="O17" s="177"/>
      <c r="P17" s="157"/>
      <c r="Q17" s="158"/>
      <c r="R17" s="158"/>
      <c r="S17" s="158"/>
      <c r="T17" s="158"/>
      <c r="U17" s="158"/>
      <c r="V17" s="177"/>
      <c r="W17" s="157"/>
      <c r="X17" s="158"/>
      <c r="Y17" s="158"/>
      <c r="Z17" s="158"/>
      <c r="AA17" s="158"/>
      <c r="AB17" s="158"/>
      <c r="AC17" s="177"/>
      <c r="AD17" s="157"/>
      <c r="AE17" s="158"/>
      <c r="AF17" s="158"/>
      <c r="AG17" s="158"/>
      <c r="AH17" s="158"/>
      <c r="AI17" s="158"/>
      <c r="AJ17" s="186"/>
    </row>
    <row r="18" spans="1:36" x14ac:dyDescent="0.25">
      <c r="A18" t="s">
        <v>137</v>
      </c>
      <c r="B18" t="s">
        <v>138</v>
      </c>
      <c r="D18" s="117" t="s">
        <v>97</v>
      </c>
      <c r="E18" s="114">
        <v>33000</v>
      </c>
      <c r="F18" s="147"/>
      <c r="G18" s="112">
        <f t="shared" si="9"/>
        <v>0</v>
      </c>
      <c r="H18" s="25"/>
      <c r="I18" s="157"/>
      <c r="J18" s="158"/>
      <c r="K18" s="158"/>
      <c r="L18" s="158"/>
      <c r="M18" s="158"/>
      <c r="N18" s="158"/>
      <c r="O18" s="177"/>
      <c r="P18" s="157"/>
      <c r="Q18" s="158"/>
      <c r="R18" s="158"/>
      <c r="S18" s="158"/>
      <c r="T18" s="158"/>
      <c r="U18" s="158"/>
      <c r="V18" s="177"/>
      <c r="W18" s="157"/>
      <c r="X18" s="158"/>
      <c r="Y18" s="158"/>
      <c r="Z18" s="158"/>
      <c r="AA18" s="158"/>
      <c r="AB18" s="158"/>
      <c r="AC18" s="177"/>
      <c r="AD18" s="157"/>
      <c r="AE18" s="158"/>
      <c r="AF18" s="158"/>
      <c r="AG18" s="158"/>
      <c r="AH18" s="158"/>
      <c r="AI18" s="158"/>
      <c r="AJ18" s="186"/>
    </row>
    <row r="19" spans="1:36" x14ac:dyDescent="0.25">
      <c r="A19" t="s">
        <v>139</v>
      </c>
      <c r="B19" t="s">
        <v>140</v>
      </c>
      <c r="D19" s="117" t="s">
        <v>96</v>
      </c>
      <c r="E19" s="114">
        <v>75000</v>
      </c>
      <c r="F19" s="147"/>
      <c r="G19" s="112">
        <f t="shared" si="9"/>
        <v>0</v>
      </c>
      <c r="H19" s="25"/>
      <c r="I19" s="157"/>
      <c r="J19" s="158"/>
      <c r="K19" s="158"/>
      <c r="L19" s="158"/>
      <c r="M19" s="158"/>
      <c r="N19" s="158"/>
      <c r="O19" s="177"/>
      <c r="P19" s="157"/>
      <c r="Q19" s="158"/>
      <c r="R19" s="158"/>
      <c r="S19" s="158"/>
      <c r="T19" s="158"/>
      <c r="U19" s="158"/>
      <c r="V19" s="177"/>
      <c r="W19" s="157"/>
      <c r="X19" s="158"/>
      <c r="Y19" s="158"/>
      <c r="Z19" s="158"/>
      <c r="AA19" s="158"/>
      <c r="AB19" s="158"/>
      <c r="AC19" s="177"/>
      <c r="AD19" s="157"/>
      <c r="AE19" s="158"/>
      <c r="AF19" s="158"/>
      <c r="AG19" s="158"/>
      <c r="AH19" s="158"/>
      <c r="AI19" s="158"/>
      <c r="AJ19" s="186"/>
    </row>
    <row r="20" spans="1:36" ht="15.75" x14ac:dyDescent="0.25">
      <c r="A20" t="s">
        <v>141</v>
      </c>
      <c r="B20" t="s">
        <v>142</v>
      </c>
      <c r="D20" s="90" t="s">
        <v>109</v>
      </c>
      <c r="E20" s="91"/>
      <c r="F20" s="92"/>
      <c r="G20" s="93">
        <f>SUM(G21:G23)</f>
        <v>0</v>
      </c>
      <c r="H20" s="75"/>
      <c r="I20" s="76" t="str">
        <f>IF(CONCATENATE(I21,I22,I23)&gt;" ","х"," ")</f>
        <v xml:space="preserve"> </v>
      </c>
      <c r="J20" s="77" t="str">
        <f>IF(CONCATENATE(J21,J22,J23)&gt;" ","х"," ")</f>
        <v xml:space="preserve"> </v>
      </c>
      <c r="K20" s="77" t="str">
        <f t="shared" ref="K20:O20" si="10">IF(CONCATENATE(K21,K22,K23)&gt;" ","х"," ")</f>
        <v xml:space="preserve"> </v>
      </c>
      <c r="L20" s="77" t="str">
        <f t="shared" si="10"/>
        <v xml:space="preserve"> </v>
      </c>
      <c r="M20" s="77" t="str">
        <f t="shared" si="10"/>
        <v xml:space="preserve"> </v>
      </c>
      <c r="N20" s="77" t="str">
        <f t="shared" si="10"/>
        <v xml:space="preserve"> </v>
      </c>
      <c r="O20" s="179" t="str">
        <f t="shared" si="10"/>
        <v xml:space="preserve"> </v>
      </c>
      <c r="P20" s="76" t="str">
        <f>IF(CONCATENATE(P21,P22,P23)&gt;" ","х"," ")</f>
        <v xml:space="preserve"> </v>
      </c>
      <c r="Q20" s="77" t="str">
        <f>IF(CONCATENATE(Q21,Q22,Q23)&gt;" ","х"," ")</f>
        <v xml:space="preserve"> </v>
      </c>
      <c r="R20" s="77" t="str">
        <f t="shared" ref="R20:V20" si="11">IF(CONCATENATE(R21,R22,R23)&gt;" ","х"," ")</f>
        <v xml:space="preserve"> </v>
      </c>
      <c r="S20" s="77" t="str">
        <f t="shared" si="11"/>
        <v xml:space="preserve"> </v>
      </c>
      <c r="T20" s="77" t="str">
        <f t="shared" si="11"/>
        <v xml:space="preserve"> </v>
      </c>
      <c r="U20" s="77" t="str">
        <f t="shared" si="11"/>
        <v xml:space="preserve"> </v>
      </c>
      <c r="V20" s="179" t="str">
        <f t="shared" si="11"/>
        <v xml:space="preserve"> </v>
      </c>
      <c r="W20" s="76" t="str">
        <f>IF(CONCATENATE(W21,W22,W23)&gt;" ","х"," ")</f>
        <v xml:space="preserve"> </v>
      </c>
      <c r="X20" s="77" t="str">
        <f>IF(CONCATENATE(X21,X22,X23)&gt;" ","х"," ")</f>
        <v xml:space="preserve"> </v>
      </c>
      <c r="Y20" s="77" t="str">
        <f t="shared" ref="Y20:AC20" si="12">IF(CONCATENATE(Y21,Y22,Y23)&gt;" ","х"," ")</f>
        <v xml:space="preserve"> </v>
      </c>
      <c r="Z20" s="77" t="str">
        <f t="shared" si="12"/>
        <v xml:space="preserve"> </v>
      </c>
      <c r="AA20" s="77" t="str">
        <f t="shared" si="12"/>
        <v xml:space="preserve"> </v>
      </c>
      <c r="AB20" s="77" t="str">
        <f t="shared" si="12"/>
        <v xml:space="preserve"> </v>
      </c>
      <c r="AC20" s="179" t="str">
        <f t="shared" si="12"/>
        <v xml:space="preserve"> </v>
      </c>
      <c r="AD20" s="76" t="str">
        <f>IF(CONCATENATE(AD21,AD22,AD23)&gt;" ","х"," ")</f>
        <v xml:space="preserve"> </v>
      </c>
      <c r="AE20" s="77" t="str">
        <f>IF(CONCATENATE(AE21,AE22,AE23)&gt;" ","х"," ")</f>
        <v xml:space="preserve"> </v>
      </c>
      <c r="AF20" s="77" t="str">
        <f t="shared" ref="AF20:AJ20" si="13">IF(CONCATENATE(AF21,AF22,AF23)&gt;" ","х"," ")</f>
        <v xml:space="preserve"> </v>
      </c>
      <c r="AG20" s="77" t="str">
        <f t="shared" si="13"/>
        <v xml:space="preserve"> </v>
      </c>
      <c r="AH20" s="77" t="str">
        <f t="shared" si="13"/>
        <v xml:space="preserve"> </v>
      </c>
      <c r="AI20" s="77" t="str">
        <f t="shared" si="13"/>
        <v xml:space="preserve"> </v>
      </c>
      <c r="AJ20" s="180" t="str">
        <f t="shared" si="13"/>
        <v xml:space="preserve"> </v>
      </c>
    </row>
    <row r="21" spans="1:36" x14ac:dyDescent="0.25">
      <c r="A21" t="s">
        <v>143</v>
      </c>
      <c r="B21" t="s">
        <v>144</v>
      </c>
      <c r="D21" s="113" t="s">
        <v>114</v>
      </c>
      <c r="E21" s="114">
        <v>100000</v>
      </c>
      <c r="F21" s="147"/>
      <c r="G21" s="114">
        <f t="shared" ref="G21:G33" si="14">E21*F21</f>
        <v>0</v>
      </c>
      <c r="H21" s="11"/>
      <c r="I21" s="159"/>
      <c r="J21" s="160"/>
      <c r="K21" s="160"/>
      <c r="L21" s="160"/>
      <c r="M21" s="160"/>
      <c r="N21" s="160"/>
      <c r="O21" s="180"/>
      <c r="P21" s="159"/>
      <c r="Q21" s="160"/>
      <c r="R21" s="160"/>
      <c r="S21" s="160"/>
      <c r="T21" s="160"/>
      <c r="U21" s="160"/>
      <c r="V21" s="180"/>
      <c r="W21" s="159"/>
      <c r="X21" s="160"/>
      <c r="Y21" s="160"/>
      <c r="Z21" s="160"/>
      <c r="AA21" s="160"/>
      <c r="AB21" s="160"/>
      <c r="AC21" s="180"/>
      <c r="AD21" s="159"/>
      <c r="AE21" s="160"/>
      <c r="AF21" s="160"/>
      <c r="AG21" s="160"/>
      <c r="AH21" s="160"/>
      <c r="AI21" s="160"/>
      <c r="AJ21" s="180"/>
    </row>
    <row r="22" spans="1:36" ht="30" x14ac:dyDescent="0.25">
      <c r="A22" t="s">
        <v>145</v>
      </c>
      <c r="B22" t="s">
        <v>146</v>
      </c>
      <c r="D22" s="113" t="s">
        <v>115</v>
      </c>
      <c r="E22" s="114">
        <v>140000</v>
      </c>
      <c r="F22" s="147"/>
      <c r="G22" s="114">
        <f t="shared" si="14"/>
        <v>0</v>
      </c>
      <c r="H22" s="11"/>
      <c r="I22" s="159"/>
      <c r="J22" s="160"/>
      <c r="K22" s="160"/>
      <c r="L22" s="160"/>
      <c r="M22" s="160"/>
      <c r="N22" s="160"/>
      <c r="O22" s="180"/>
      <c r="P22" s="159"/>
      <c r="Q22" s="160"/>
      <c r="R22" s="160"/>
      <c r="S22" s="160"/>
      <c r="T22" s="160"/>
      <c r="U22" s="160"/>
      <c r="V22" s="180"/>
      <c r="W22" s="159"/>
      <c r="X22" s="160"/>
      <c r="Y22" s="160"/>
      <c r="Z22" s="160"/>
      <c r="AA22" s="160"/>
      <c r="AB22" s="160"/>
      <c r="AC22" s="180"/>
      <c r="AD22" s="159"/>
      <c r="AE22" s="160"/>
      <c r="AF22" s="160"/>
      <c r="AG22" s="160"/>
      <c r="AH22" s="160"/>
      <c r="AI22" s="160"/>
      <c r="AJ22" s="180"/>
    </row>
    <row r="23" spans="1:36" x14ac:dyDescent="0.25">
      <c r="D23" s="113" t="s">
        <v>116</v>
      </c>
      <c r="E23" s="114">
        <v>170000</v>
      </c>
      <c r="F23" s="147"/>
      <c r="G23" s="114">
        <f t="shared" si="14"/>
        <v>0</v>
      </c>
      <c r="H23" s="11"/>
      <c r="I23" s="159"/>
      <c r="J23" s="160"/>
      <c r="K23" s="160"/>
      <c r="L23" s="160"/>
      <c r="M23" s="160"/>
      <c r="N23" s="160"/>
      <c r="O23" s="180"/>
      <c r="P23" s="159"/>
      <c r="Q23" s="160"/>
      <c r="R23" s="160"/>
      <c r="S23" s="160"/>
      <c r="T23" s="160"/>
      <c r="U23" s="160"/>
      <c r="V23" s="180"/>
      <c r="W23" s="159"/>
      <c r="X23" s="160"/>
      <c r="Y23" s="160"/>
      <c r="Z23" s="160"/>
      <c r="AA23" s="160"/>
      <c r="AB23" s="160"/>
      <c r="AC23" s="180"/>
      <c r="AD23" s="159"/>
      <c r="AE23" s="160"/>
      <c r="AF23" s="160"/>
      <c r="AG23" s="160"/>
      <c r="AH23" s="160"/>
      <c r="AI23" s="160"/>
      <c r="AJ23" s="180"/>
    </row>
    <row r="24" spans="1:36" x14ac:dyDescent="0.25">
      <c r="D24" s="117" t="s">
        <v>98</v>
      </c>
      <c r="E24" s="114">
        <v>40000</v>
      </c>
      <c r="F24" s="147"/>
      <c r="G24" s="114">
        <f t="shared" si="14"/>
        <v>0</v>
      </c>
      <c r="H24" s="10"/>
      <c r="I24" s="159"/>
      <c r="J24" s="160"/>
      <c r="K24" s="160"/>
      <c r="L24" s="160"/>
      <c r="M24" s="160"/>
      <c r="N24" s="160"/>
      <c r="O24" s="180"/>
      <c r="P24" s="159"/>
      <c r="Q24" s="160"/>
      <c r="R24" s="160"/>
      <c r="S24" s="160"/>
      <c r="T24" s="160"/>
      <c r="U24" s="160"/>
      <c r="V24" s="180"/>
      <c r="W24" s="159"/>
      <c r="X24" s="160"/>
      <c r="Y24" s="160"/>
      <c r="Z24" s="160"/>
      <c r="AA24" s="160"/>
      <c r="AB24" s="160"/>
      <c r="AC24" s="180"/>
      <c r="AD24" s="159"/>
      <c r="AE24" s="160"/>
      <c r="AF24" s="160"/>
      <c r="AG24" s="160"/>
      <c r="AH24" s="160"/>
      <c r="AI24" s="160"/>
      <c r="AJ24" s="180"/>
    </row>
    <row r="25" spans="1:36" x14ac:dyDescent="0.25">
      <c r="D25" s="117" t="s">
        <v>99</v>
      </c>
      <c r="E25" s="114">
        <v>80000</v>
      </c>
      <c r="F25" s="147"/>
      <c r="G25" s="114">
        <f t="shared" si="14"/>
        <v>0</v>
      </c>
      <c r="H25" s="10"/>
      <c r="I25" s="159"/>
      <c r="J25" s="160"/>
      <c r="K25" s="160"/>
      <c r="L25" s="160"/>
      <c r="M25" s="160"/>
      <c r="N25" s="160"/>
      <c r="O25" s="180"/>
      <c r="P25" s="159"/>
      <c r="Q25" s="160"/>
      <c r="R25" s="160"/>
      <c r="S25" s="160"/>
      <c r="T25" s="160"/>
      <c r="U25" s="160"/>
      <c r="V25" s="180"/>
      <c r="W25" s="159"/>
      <c r="X25" s="160"/>
      <c r="Y25" s="160"/>
      <c r="Z25" s="160"/>
      <c r="AA25" s="160"/>
      <c r="AB25" s="160"/>
      <c r="AC25" s="180"/>
      <c r="AD25" s="159"/>
      <c r="AE25" s="160"/>
      <c r="AF25" s="160"/>
      <c r="AG25" s="160"/>
      <c r="AH25" s="160"/>
      <c r="AI25" s="160"/>
      <c r="AJ25" s="180"/>
    </row>
    <row r="26" spans="1:36" x14ac:dyDescent="0.25">
      <c r="D26" s="117" t="s">
        <v>100</v>
      </c>
      <c r="E26" s="114">
        <v>155000</v>
      </c>
      <c r="F26" s="147"/>
      <c r="G26" s="114">
        <f t="shared" si="14"/>
        <v>0</v>
      </c>
      <c r="H26" s="10"/>
      <c r="I26" s="159"/>
      <c r="J26" s="160"/>
      <c r="K26" s="160"/>
      <c r="L26" s="160"/>
      <c r="M26" s="160"/>
      <c r="N26" s="160"/>
      <c r="O26" s="180"/>
      <c r="P26" s="159"/>
      <c r="Q26" s="160"/>
      <c r="R26" s="160"/>
      <c r="S26" s="160"/>
      <c r="T26" s="160"/>
      <c r="U26" s="160"/>
      <c r="V26" s="180"/>
      <c r="W26" s="159"/>
      <c r="X26" s="160"/>
      <c r="Y26" s="160"/>
      <c r="Z26" s="160"/>
      <c r="AA26" s="160"/>
      <c r="AB26" s="160"/>
      <c r="AC26" s="180"/>
      <c r="AD26" s="159"/>
      <c r="AE26" s="160"/>
      <c r="AF26" s="160"/>
      <c r="AG26" s="160"/>
      <c r="AH26" s="160"/>
      <c r="AI26" s="160"/>
      <c r="AJ26" s="180"/>
    </row>
    <row r="27" spans="1:36" x14ac:dyDescent="0.25">
      <c r="D27" s="117" t="s">
        <v>101</v>
      </c>
      <c r="E27" s="114">
        <v>195000</v>
      </c>
      <c r="F27" s="147"/>
      <c r="G27" s="114">
        <f t="shared" si="14"/>
        <v>0</v>
      </c>
      <c r="H27" s="10"/>
      <c r="I27" s="159"/>
      <c r="J27" s="160"/>
      <c r="K27" s="160"/>
      <c r="L27" s="160"/>
      <c r="M27" s="160"/>
      <c r="N27" s="160"/>
      <c r="O27" s="180"/>
      <c r="P27" s="159"/>
      <c r="Q27" s="160"/>
      <c r="R27" s="160"/>
      <c r="S27" s="160"/>
      <c r="T27" s="160"/>
      <c r="U27" s="160"/>
      <c r="V27" s="180"/>
      <c r="W27" s="159"/>
      <c r="X27" s="160"/>
      <c r="Y27" s="160"/>
      <c r="Z27" s="160"/>
      <c r="AA27" s="160"/>
      <c r="AB27" s="160"/>
      <c r="AC27" s="180"/>
      <c r="AD27" s="159"/>
      <c r="AE27" s="160"/>
      <c r="AF27" s="160"/>
      <c r="AG27" s="160"/>
      <c r="AH27" s="160"/>
      <c r="AI27" s="160"/>
      <c r="AJ27" s="180"/>
    </row>
    <row r="28" spans="1:36" x14ac:dyDescent="0.25">
      <c r="D28" s="113" t="s">
        <v>110</v>
      </c>
      <c r="E28" s="114">
        <v>35000</v>
      </c>
      <c r="F28" s="147"/>
      <c r="G28" s="114">
        <f t="shared" si="14"/>
        <v>0</v>
      </c>
      <c r="H28" s="10"/>
      <c r="I28" s="159"/>
      <c r="J28" s="160"/>
      <c r="K28" s="160"/>
      <c r="L28" s="160"/>
      <c r="M28" s="160"/>
      <c r="N28" s="160"/>
      <c r="O28" s="180"/>
      <c r="P28" s="159"/>
      <c r="Q28" s="160"/>
      <c r="R28" s="160"/>
      <c r="S28" s="160"/>
      <c r="T28" s="160"/>
      <c r="U28" s="160"/>
      <c r="V28" s="180"/>
      <c r="W28" s="159"/>
      <c r="X28" s="160"/>
      <c r="Y28" s="160"/>
      <c r="Z28" s="160"/>
      <c r="AA28" s="160"/>
      <c r="AB28" s="160"/>
      <c r="AC28" s="180"/>
      <c r="AD28" s="159"/>
      <c r="AE28" s="160"/>
      <c r="AF28" s="160"/>
      <c r="AG28" s="160"/>
      <c r="AH28" s="160"/>
      <c r="AI28" s="160"/>
      <c r="AJ28" s="180"/>
    </row>
    <row r="29" spans="1:36" ht="30" x14ac:dyDescent="0.25">
      <c r="D29" s="118" t="s">
        <v>113</v>
      </c>
      <c r="E29" s="114">
        <v>3300</v>
      </c>
      <c r="F29" s="147"/>
      <c r="G29" s="114">
        <f t="shared" si="14"/>
        <v>0</v>
      </c>
      <c r="H29" s="48"/>
      <c r="I29" s="159"/>
      <c r="J29" s="160"/>
      <c r="K29" s="160"/>
      <c r="L29" s="160"/>
      <c r="M29" s="160"/>
      <c r="N29" s="160"/>
      <c r="O29" s="180"/>
      <c r="P29" s="159"/>
      <c r="Q29" s="160"/>
      <c r="R29" s="160"/>
      <c r="S29" s="160"/>
      <c r="T29" s="160"/>
      <c r="U29" s="160"/>
      <c r="V29" s="180"/>
      <c r="W29" s="159"/>
      <c r="X29" s="160"/>
      <c r="Y29" s="160"/>
      <c r="Z29" s="160"/>
      <c r="AA29" s="160"/>
      <c r="AB29" s="160"/>
      <c r="AC29" s="180"/>
      <c r="AD29" s="159"/>
      <c r="AE29" s="160"/>
      <c r="AF29" s="160"/>
      <c r="AG29" s="160"/>
      <c r="AH29" s="160"/>
      <c r="AI29" s="160"/>
      <c r="AJ29" s="180"/>
    </row>
    <row r="30" spans="1:36" x14ac:dyDescent="0.25">
      <c r="D30" s="118" t="s">
        <v>111</v>
      </c>
      <c r="E30" s="114">
        <v>51000</v>
      </c>
      <c r="F30" s="147"/>
      <c r="G30" s="114">
        <f t="shared" si="14"/>
        <v>0</v>
      </c>
      <c r="H30" s="48"/>
      <c r="I30" s="159"/>
      <c r="J30" s="160"/>
      <c r="K30" s="160"/>
      <c r="L30" s="160"/>
      <c r="M30" s="160"/>
      <c r="N30" s="160"/>
      <c r="O30" s="180"/>
      <c r="P30" s="159"/>
      <c r="Q30" s="160"/>
      <c r="R30" s="160"/>
      <c r="S30" s="160"/>
      <c r="T30" s="160"/>
      <c r="U30" s="160"/>
      <c r="V30" s="180"/>
      <c r="W30" s="159"/>
      <c r="X30" s="160"/>
      <c r="Y30" s="160"/>
      <c r="Z30" s="160"/>
      <c r="AA30" s="160"/>
      <c r="AB30" s="160"/>
      <c r="AC30" s="180"/>
      <c r="AD30" s="159"/>
      <c r="AE30" s="160"/>
      <c r="AF30" s="160"/>
      <c r="AG30" s="160"/>
      <c r="AH30" s="160"/>
      <c r="AI30" s="160"/>
      <c r="AJ30" s="180"/>
    </row>
    <row r="31" spans="1:36" ht="30" x14ac:dyDescent="0.25">
      <c r="D31" s="118" t="s">
        <v>113</v>
      </c>
      <c r="E31" s="119">
        <v>4100</v>
      </c>
      <c r="F31" s="147"/>
      <c r="G31" s="119">
        <f t="shared" si="14"/>
        <v>0</v>
      </c>
      <c r="H31" s="48"/>
      <c r="I31" s="159"/>
      <c r="J31" s="160"/>
      <c r="K31" s="160"/>
      <c r="L31" s="160"/>
      <c r="M31" s="160"/>
      <c r="N31" s="160"/>
      <c r="O31" s="180"/>
      <c r="P31" s="159"/>
      <c r="Q31" s="160"/>
      <c r="R31" s="160"/>
      <c r="S31" s="160"/>
      <c r="T31" s="160"/>
      <c r="U31" s="160"/>
      <c r="V31" s="180"/>
      <c r="W31" s="159"/>
      <c r="X31" s="160"/>
      <c r="Y31" s="160"/>
      <c r="Z31" s="160"/>
      <c r="AA31" s="160"/>
      <c r="AB31" s="160"/>
      <c r="AC31" s="180"/>
      <c r="AD31" s="159"/>
      <c r="AE31" s="160"/>
      <c r="AF31" s="160"/>
      <c r="AG31" s="160"/>
      <c r="AH31" s="160"/>
      <c r="AI31" s="160"/>
      <c r="AJ31" s="180"/>
    </row>
    <row r="32" spans="1:36" x14ac:dyDescent="0.25">
      <c r="D32" s="120" t="s">
        <v>112</v>
      </c>
      <c r="E32" s="119">
        <v>67000</v>
      </c>
      <c r="F32" s="147"/>
      <c r="G32" s="119">
        <f t="shared" si="14"/>
        <v>0</v>
      </c>
      <c r="H32" s="63"/>
      <c r="I32" s="159"/>
      <c r="J32" s="160"/>
      <c r="K32" s="160"/>
      <c r="L32" s="160"/>
      <c r="M32" s="160"/>
      <c r="N32" s="160"/>
      <c r="O32" s="180"/>
      <c r="P32" s="159"/>
      <c r="Q32" s="160"/>
      <c r="R32" s="160"/>
      <c r="S32" s="160"/>
      <c r="T32" s="160"/>
      <c r="U32" s="160"/>
      <c r="V32" s="180"/>
      <c r="W32" s="159"/>
      <c r="X32" s="160"/>
      <c r="Y32" s="160"/>
      <c r="Z32" s="160"/>
      <c r="AA32" s="160"/>
      <c r="AB32" s="160"/>
      <c r="AC32" s="180"/>
      <c r="AD32" s="159"/>
      <c r="AE32" s="160"/>
      <c r="AF32" s="160"/>
      <c r="AG32" s="160"/>
      <c r="AH32" s="160"/>
      <c r="AI32" s="160"/>
      <c r="AJ32" s="180"/>
    </row>
    <row r="33" spans="4:36" ht="30.75" thickBot="1" x14ac:dyDescent="0.3">
      <c r="D33" s="118" t="s">
        <v>113</v>
      </c>
      <c r="E33" s="121">
        <v>5100</v>
      </c>
      <c r="F33" s="149"/>
      <c r="G33" s="140">
        <f t="shared" si="14"/>
        <v>0</v>
      </c>
      <c r="H33" s="68"/>
      <c r="I33" s="159"/>
      <c r="J33" s="160"/>
      <c r="K33" s="160"/>
      <c r="L33" s="160"/>
      <c r="M33" s="160"/>
      <c r="N33" s="160"/>
      <c r="O33" s="180"/>
      <c r="P33" s="159"/>
      <c r="Q33" s="160"/>
      <c r="R33" s="160"/>
      <c r="S33" s="160"/>
      <c r="T33" s="160"/>
      <c r="U33" s="160"/>
      <c r="V33" s="180"/>
      <c r="W33" s="159"/>
      <c r="X33" s="160"/>
      <c r="Y33" s="160"/>
      <c r="Z33" s="160"/>
      <c r="AA33" s="160"/>
      <c r="AB33" s="160"/>
      <c r="AC33" s="180"/>
      <c r="AD33" s="159"/>
      <c r="AE33" s="160"/>
      <c r="AF33" s="160"/>
      <c r="AG33" s="160"/>
      <c r="AH33" s="160"/>
      <c r="AI33" s="160"/>
      <c r="AJ33" s="180"/>
    </row>
    <row r="34" spans="4:36" ht="24" thickBot="1" x14ac:dyDescent="0.3">
      <c r="D34" s="84" t="s">
        <v>0</v>
      </c>
      <c r="E34" s="85"/>
      <c r="F34" s="86"/>
      <c r="G34" s="87">
        <f>SUM(G35:G38,G60,G72,G49:G58)</f>
        <v>0</v>
      </c>
      <c r="H34" s="85"/>
      <c r="I34" s="88" t="str">
        <f>IF((CONCATENATE(I35,I36,I41,I42,I37,I39,I40,I43,I44,I45,I46,I47,I48,I49,I50,I51,I52,I53,I54,I55,I56,I57,I58,I59,I61,I62,I63,I64,I65,I66,I68,I70,I71,I73,I74,I75,I77,I78,I79))&gt;" ","х"," ")</f>
        <v xml:space="preserve"> </v>
      </c>
      <c r="J34" s="89" t="str">
        <f>IF((CONCATENATE(J35,J36,J41,J42,J37,J39,J40,J43,J44,J45,J46,J47,J48,J49,J50,J51,J52,J53,J54,J55,J56,J57,J58,J59,J61,J62,J63,J64,J65,J66,J68,J70,J71,J73,J74,J75,J77,J78,J79))&gt;" ","х"," ")</f>
        <v xml:space="preserve"> </v>
      </c>
      <c r="K34" s="89" t="str">
        <f t="shared" ref="K34:O34" si="15">IF((CONCATENATE(K35,K36,K41,K42,K37,K39,K40,K43,K44,K45,K46,K47,K48,K49,K50,K51,K52,K53,K54,K55,K56,K57,K58,K59,K61,K62,K63,K64,K65,K66,K68,K70,K71,K73,K74,K75,K77,K78,K79))&gt;" ","х"," ")</f>
        <v xml:space="preserve"> </v>
      </c>
      <c r="L34" s="89" t="str">
        <f t="shared" si="15"/>
        <v xml:space="preserve"> </v>
      </c>
      <c r="M34" s="89" t="str">
        <f t="shared" si="15"/>
        <v xml:space="preserve"> </v>
      </c>
      <c r="N34" s="89" t="str">
        <f t="shared" si="15"/>
        <v xml:space="preserve"> </v>
      </c>
      <c r="O34" s="176" t="str">
        <f t="shared" si="15"/>
        <v xml:space="preserve"> </v>
      </c>
      <c r="P34" s="88" t="str">
        <f>IF((CONCATENATE(P35,P36,P41,P42,P37,P39,P40,P43,P44,P45,P46,P47,P48,P49,P50,P51,P52,P53,P54,P55,P56,P57,P58,P59,P61,P62,P63,P64,P65,P66,P68,P70,P71,P73,P74,P75,P77,P78,P79))&gt;" ","х"," ")</f>
        <v xml:space="preserve"> </v>
      </c>
      <c r="Q34" s="89" t="str">
        <f>IF((CONCATENATE(Q35,Q36,Q41,Q42,Q37,Q39,Q40,Q43,Q44,Q45,Q46,Q47,Q48,Q49,Q50,Q51,Q52,Q53,Q54,Q55,Q56,Q57,Q58,Q59,Q61,Q62,Q63,Q64,Q65,Q66,Q68,Q70,Q71,Q73,Q74,Q75,Q77,Q78,Q79))&gt;" ","х"," ")</f>
        <v xml:space="preserve"> </v>
      </c>
      <c r="R34" s="89" t="str">
        <f t="shared" ref="R34:V34" si="16">IF((CONCATENATE(R35,R36,R41,R42,R37,R39,R40,R43,R44,R45,R46,R47,R48,R49,R50,R51,R52,R53,R54,R55,R56,R57,R58,R59,R61,R62,R63,R64,R65,R66,R68,R70,R71,R73,R74,R75,R77,R78,R79))&gt;" ","х"," ")</f>
        <v xml:space="preserve"> </v>
      </c>
      <c r="S34" s="89" t="str">
        <f t="shared" si="16"/>
        <v xml:space="preserve"> </v>
      </c>
      <c r="T34" s="89" t="str">
        <f t="shared" si="16"/>
        <v xml:space="preserve"> </v>
      </c>
      <c r="U34" s="89" t="str">
        <f t="shared" si="16"/>
        <v xml:space="preserve"> </v>
      </c>
      <c r="V34" s="176" t="str">
        <f t="shared" si="16"/>
        <v xml:space="preserve"> </v>
      </c>
      <c r="W34" s="88" t="str">
        <f>IF((CONCATENATE(W35,W36,W41,W42,W37,W39,W40,W43,W44,W45,W46,W47,W48,W49,W50,W51,W52,W53,W54,W55,W56,W57,W58,W59,W61,W62,W63,W64,W65,W66,W68,W70,W71,W73,W74,W75,W77,W78,W79))&gt;" ","х"," ")</f>
        <v xml:space="preserve"> </v>
      </c>
      <c r="X34" s="89" t="str">
        <f>IF((CONCATENATE(X35,X36,X41,X42,X37,X39,X40,X43,X44,X45,X46,X47,X48,X49,X50,X51,X52,X53,X54,X55,X56,X57,X58,X59,X61,X62,X63,X64,X65,X66,X68,X70,X71,X73,X74,X75,X77,X78,X79))&gt;" ","х"," ")</f>
        <v xml:space="preserve"> </v>
      </c>
      <c r="Y34" s="89" t="str">
        <f t="shared" ref="Y34:AC34" si="17">IF((CONCATENATE(Y35,Y36,Y41,Y42,Y37,Y39,Y40,Y43,Y44,Y45,Y46,Y47,Y48,Y49,Y50,Y51,Y52,Y53,Y54,Y55,Y56,Y57,Y58,Y59,Y61,Y62,Y63,Y64,Y65,Y66,Y68,Y70,Y71,Y73,Y74,Y75,Y77,Y78,Y79))&gt;" ","х"," ")</f>
        <v xml:space="preserve"> </v>
      </c>
      <c r="Z34" s="89" t="str">
        <f t="shared" si="17"/>
        <v xml:space="preserve"> </v>
      </c>
      <c r="AA34" s="89" t="str">
        <f t="shared" si="17"/>
        <v xml:space="preserve"> </v>
      </c>
      <c r="AB34" s="89" t="str">
        <f t="shared" si="17"/>
        <v xml:space="preserve"> </v>
      </c>
      <c r="AC34" s="176" t="str">
        <f t="shared" si="17"/>
        <v xml:space="preserve"> </v>
      </c>
      <c r="AD34" s="88" t="str">
        <f>IF((CONCATENATE(AD35,AD36,AD41,AD42,AD37,AD39,AD40,AD43,AD44,AD45,AD46,AD47,AD48,AD49,AD50,AD51,AD52,AD53,AD54,AD55,AD56,AD57,AD58,AD59,AD61,AD62,AD63,AD64,AD65,AD66,AD68,AD70,AD71,AD73,AD74,AD75,AD77,AD78,AD79))&gt;" ","х"," ")</f>
        <v xml:space="preserve"> </v>
      </c>
      <c r="AE34" s="89" t="str">
        <f>IF((CONCATENATE(AE35,AE36,AE41,AE42,AE37,AE39,AE40,AE43,AE44,AE45,AE46,AE47,AE48,AE49,AE50,AE51,AE52,AE53,AE54,AE55,AE56,AE57,AE58,AE59,AE61,AE62,AE63,AE64,AE65,AE66,AE68,AE70,AE71,AE73,AE74,AE75,AE77,AE78,AE79))&gt;" ","х"," ")</f>
        <v xml:space="preserve"> </v>
      </c>
      <c r="AF34" s="89" t="str">
        <f t="shared" ref="AF34:AJ34" si="18">IF((CONCATENATE(AF35,AF36,AF41,AF42,AF37,AF39,AF40,AF43,AF44,AF45,AF46,AF47,AF48,AF49,AF50,AF51,AF52,AF53,AF54,AF55,AF56,AF57,AF58,AF59,AF61,AF62,AF63,AF64,AF65,AF66,AF68,AF70,AF71,AF73,AF74,AF75,AF77,AF78,AF79))&gt;" ","х"," ")</f>
        <v xml:space="preserve"> </v>
      </c>
      <c r="AG34" s="89" t="str">
        <f t="shared" si="18"/>
        <v xml:space="preserve"> </v>
      </c>
      <c r="AH34" s="89" t="str">
        <f t="shared" si="18"/>
        <v xml:space="preserve"> </v>
      </c>
      <c r="AI34" s="89" t="str">
        <f t="shared" si="18"/>
        <v xml:space="preserve"> </v>
      </c>
      <c r="AJ34" s="181" t="str">
        <f t="shared" si="18"/>
        <v xml:space="preserve"> </v>
      </c>
    </row>
    <row r="35" spans="4:36" x14ac:dyDescent="0.25">
      <c r="D35" s="111" t="s">
        <v>70</v>
      </c>
      <c r="E35" s="122">
        <v>88000</v>
      </c>
      <c r="F35" s="150"/>
      <c r="G35" s="122">
        <f>E35*F35</f>
        <v>0</v>
      </c>
      <c r="H35" s="21"/>
      <c r="I35" s="157"/>
      <c r="J35" s="158"/>
      <c r="K35" s="158"/>
      <c r="L35" s="158"/>
      <c r="M35" s="158"/>
      <c r="N35" s="158"/>
      <c r="O35" s="177"/>
      <c r="P35" s="157"/>
      <c r="Q35" s="158"/>
      <c r="R35" s="158"/>
      <c r="S35" s="158"/>
      <c r="T35" s="158"/>
      <c r="U35" s="158"/>
      <c r="V35" s="177"/>
      <c r="W35" s="157"/>
      <c r="X35" s="158"/>
      <c r="Y35" s="158"/>
      <c r="Z35" s="158"/>
      <c r="AA35" s="158"/>
      <c r="AB35" s="158"/>
      <c r="AC35" s="177"/>
      <c r="AD35" s="157"/>
      <c r="AE35" s="158"/>
      <c r="AF35" s="158"/>
      <c r="AG35" s="158"/>
      <c r="AH35" s="158"/>
      <c r="AI35" s="158"/>
      <c r="AJ35" s="186"/>
    </row>
    <row r="36" spans="4:36" x14ac:dyDescent="0.25">
      <c r="D36" s="111" t="s">
        <v>71</v>
      </c>
      <c r="E36" s="122">
        <v>116000</v>
      </c>
      <c r="F36" s="150"/>
      <c r="G36" s="122">
        <f t="shared" ref="G36:G58" si="19">E36*F36</f>
        <v>0</v>
      </c>
      <c r="H36" s="21"/>
      <c r="I36" s="157"/>
      <c r="J36" s="158"/>
      <c r="K36" s="158"/>
      <c r="L36" s="158"/>
      <c r="M36" s="158"/>
      <c r="N36" s="158"/>
      <c r="O36" s="177"/>
      <c r="P36" s="157"/>
      <c r="Q36" s="158"/>
      <c r="R36" s="158"/>
      <c r="S36" s="158"/>
      <c r="T36" s="158"/>
      <c r="U36" s="158"/>
      <c r="V36" s="177"/>
      <c r="W36" s="157"/>
      <c r="X36" s="158"/>
      <c r="Y36" s="158"/>
      <c r="Z36" s="158"/>
      <c r="AA36" s="158"/>
      <c r="AB36" s="158"/>
      <c r="AC36" s="177"/>
      <c r="AD36" s="157"/>
      <c r="AE36" s="158"/>
      <c r="AF36" s="158"/>
      <c r="AG36" s="158"/>
      <c r="AH36" s="158"/>
      <c r="AI36" s="158"/>
      <c r="AJ36" s="186"/>
    </row>
    <row r="37" spans="4:36" x14ac:dyDescent="0.25">
      <c r="D37" s="111" t="s">
        <v>72</v>
      </c>
      <c r="E37" s="122">
        <v>257000</v>
      </c>
      <c r="F37" s="150"/>
      <c r="G37" s="122">
        <f t="shared" si="19"/>
        <v>0</v>
      </c>
      <c r="H37" s="21"/>
      <c r="I37" s="157"/>
      <c r="J37" s="158"/>
      <c r="K37" s="158"/>
      <c r="L37" s="158"/>
      <c r="M37" s="158"/>
      <c r="N37" s="158"/>
      <c r="O37" s="177"/>
      <c r="P37" s="157"/>
      <c r="Q37" s="158"/>
      <c r="R37" s="158"/>
      <c r="S37" s="158"/>
      <c r="T37" s="158"/>
      <c r="U37" s="158"/>
      <c r="V37" s="177"/>
      <c r="W37" s="157"/>
      <c r="X37" s="158"/>
      <c r="Y37" s="158"/>
      <c r="Z37" s="158"/>
      <c r="AA37" s="158"/>
      <c r="AB37" s="158"/>
      <c r="AC37" s="177"/>
      <c r="AD37" s="157"/>
      <c r="AE37" s="158"/>
      <c r="AF37" s="158"/>
      <c r="AG37" s="158"/>
      <c r="AH37" s="158"/>
      <c r="AI37" s="158"/>
      <c r="AJ37" s="186"/>
    </row>
    <row r="38" spans="4:36" ht="15.75" x14ac:dyDescent="0.25">
      <c r="D38" s="78" t="s">
        <v>73</v>
      </c>
      <c r="E38" s="79"/>
      <c r="F38" s="80"/>
      <c r="G38" s="74">
        <f>SUM(G39:G48)</f>
        <v>0</v>
      </c>
      <c r="H38" s="81"/>
      <c r="I38" s="82" t="str">
        <f>IF(CONCATENATE(I39,I40,I41,I42,I43,I44,I45,I46,I47,I48)&gt;" ","х"," ")</f>
        <v xml:space="preserve"> </v>
      </c>
      <c r="J38" s="83" t="str">
        <f>IF(CONCATENATE(J39,J40,J41,J42,J43,J44,J45,J46,J47,J48)&gt;" ","х"," ")</f>
        <v xml:space="preserve"> </v>
      </c>
      <c r="K38" s="83" t="str">
        <f t="shared" ref="K38:O38" si="20">IF(CONCATENATE(K39,K40,K41,K42,K43,K44,K45,K46,K47,K48)&gt;" ","х"," ")</f>
        <v xml:space="preserve"> </v>
      </c>
      <c r="L38" s="83" t="str">
        <f t="shared" si="20"/>
        <v xml:space="preserve"> </v>
      </c>
      <c r="M38" s="83" t="str">
        <f t="shared" si="20"/>
        <v xml:space="preserve"> </v>
      </c>
      <c r="N38" s="83" t="str">
        <f t="shared" si="20"/>
        <v xml:space="preserve"> </v>
      </c>
      <c r="O38" s="177" t="str">
        <f t="shared" si="20"/>
        <v xml:space="preserve"> </v>
      </c>
      <c r="P38" s="82" t="str">
        <f>IF(CONCATENATE(P39,P40,P41,P42,P43,P44,P45,P46,P47,P48)&gt;" ","х"," ")</f>
        <v xml:space="preserve"> </v>
      </c>
      <c r="Q38" s="83" t="str">
        <f>IF(CONCATENATE(Q39,Q40,Q41,Q42,Q43,Q44,Q45,Q46,Q47,Q48)&gt;" ","х"," ")</f>
        <v xml:space="preserve"> </v>
      </c>
      <c r="R38" s="83" t="str">
        <f t="shared" ref="R38:V38" si="21">IF(CONCATENATE(R39,R40,R41,R42,R43,R44,R45,R46,R47,R48)&gt;" ","х"," ")</f>
        <v xml:space="preserve"> </v>
      </c>
      <c r="S38" s="83" t="str">
        <f t="shared" si="21"/>
        <v xml:space="preserve"> </v>
      </c>
      <c r="T38" s="83" t="str">
        <f t="shared" si="21"/>
        <v xml:space="preserve"> </v>
      </c>
      <c r="U38" s="83" t="str">
        <f t="shared" si="21"/>
        <v xml:space="preserve"> </v>
      </c>
      <c r="V38" s="177" t="str">
        <f t="shared" si="21"/>
        <v xml:space="preserve"> </v>
      </c>
      <c r="W38" s="82" t="str">
        <f>IF(CONCATENATE(W39,W40,W41,W42,W43,W44,W45,W46,W47,W48)&gt;" ","х"," ")</f>
        <v xml:space="preserve"> </v>
      </c>
      <c r="X38" s="83" t="str">
        <f>IF(CONCATENATE(X39,X40,X41,X42,X43,X44,X45,X46,X47,X48)&gt;" ","х"," ")</f>
        <v xml:space="preserve"> </v>
      </c>
      <c r="Y38" s="83" t="str">
        <f t="shared" ref="Y38:AC38" si="22">IF(CONCATENATE(Y39,Y40,Y41,Y42,Y43,Y44,Y45,Y46,Y47,Y48)&gt;" ","х"," ")</f>
        <v xml:space="preserve"> </v>
      </c>
      <c r="Z38" s="83" t="str">
        <f t="shared" si="22"/>
        <v xml:space="preserve"> </v>
      </c>
      <c r="AA38" s="83" t="str">
        <f t="shared" si="22"/>
        <v xml:space="preserve"> </v>
      </c>
      <c r="AB38" s="83" t="str">
        <f t="shared" si="22"/>
        <v xml:space="preserve"> </v>
      </c>
      <c r="AC38" s="177" t="str">
        <f t="shared" si="22"/>
        <v xml:space="preserve"> </v>
      </c>
      <c r="AD38" s="82" t="str">
        <f>IF(CONCATENATE(AD39,AD40,AD41,AD42,AD43,AD44,AD45,AD46,AD47,AD48)&gt;" ","х"," ")</f>
        <v xml:space="preserve"> </v>
      </c>
      <c r="AE38" s="83" t="str">
        <f>IF(CONCATENATE(AE39,AE40,AE41,AE42,AE43,AE44,AE45,AE46,AE47,AE48)&gt;" ","х"," ")</f>
        <v xml:space="preserve"> </v>
      </c>
      <c r="AF38" s="83" t="str">
        <f t="shared" ref="AF38:AJ38" si="23">IF(CONCATENATE(AF39,AF40,AF41,AF42,AF43,AF44,AF45,AF46,AF47,AF48)&gt;" ","х"," ")</f>
        <v xml:space="preserve"> </v>
      </c>
      <c r="AG38" s="83" t="str">
        <f t="shared" si="23"/>
        <v xml:space="preserve"> </v>
      </c>
      <c r="AH38" s="83" t="str">
        <f t="shared" si="23"/>
        <v xml:space="preserve"> </v>
      </c>
      <c r="AI38" s="83" t="str">
        <f t="shared" si="23"/>
        <v xml:space="preserve"> </v>
      </c>
      <c r="AJ38" s="186" t="str">
        <f t="shared" si="23"/>
        <v xml:space="preserve"> </v>
      </c>
    </row>
    <row r="39" spans="4:36" ht="45" x14ac:dyDescent="0.25">
      <c r="D39" s="123" t="s">
        <v>103</v>
      </c>
      <c r="E39" s="122">
        <f>10000+28000+20000</f>
        <v>58000</v>
      </c>
      <c r="F39" s="151"/>
      <c r="G39" s="122">
        <f t="shared" si="19"/>
        <v>0</v>
      </c>
      <c r="H39" s="21"/>
      <c r="I39" s="157"/>
      <c r="J39" s="158"/>
      <c r="K39" s="158"/>
      <c r="L39" s="158"/>
      <c r="M39" s="158"/>
      <c r="N39" s="158"/>
      <c r="O39" s="177"/>
      <c r="P39" s="157"/>
      <c r="Q39" s="158"/>
      <c r="R39" s="158"/>
      <c r="S39" s="158"/>
      <c r="T39" s="158"/>
      <c r="U39" s="158"/>
      <c r="V39" s="177"/>
      <c r="W39" s="157"/>
      <c r="X39" s="158"/>
      <c r="Y39" s="158"/>
      <c r="Z39" s="158"/>
      <c r="AA39" s="158"/>
      <c r="AB39" s="158"/>
      <c r="AC39" s="177"/>
      <c r="AD39" s="157"/>
      <c r="AE39" s="158"/>
      <c r="AF39" s="158"/>
      <c r="AG39" s="158"/>
      <c r="AH39" s="158"/>
      <c r="AI39" s="158"/>
      <c r="AJ39" s="186"/>
    </row>
    <row r="40" spans="4:36" x14ac:dyDescent="0.25">
      <c r="D40" s="123" t="s">
        <v>80</v>
      </c>
      <c r="E40" s="122">
        <v>3000</v>
      </c>
      <c r="F40" s="151"/>
      <c r="G40" s="122">
        <f t="shared" si="19"/>
        <v>0</v>
      </c>
      <c r="H40" s="21"/>
      <c r="I40" s="157"/>
      <c r="J40" s="158"/>
      <c r="K40" s="158"/>
      <c r="L40" s="158"/>
      <c r="M40" s="158"/>
      <c r="N40" s="158"/>
      <c r="O40" s="177"/>
      <c r="P40" s="157"/>
      <c r="Q40" s="158"/>
      <c r="R40" s="158"/>
      <c r="S40" s="158"/>
      <c r="T40" s="158"/>
      <c r="U40" s="158"/>
      <c r="V40" s="177"/>
      <c r="W40" s="157"/>
      <c r="X40" s="158"/>
      <c r="Y40" s="158"/>
      <c r="Z40" s="158"/>
      <c r="AA40" s="158"/>
      <c r="AB40" s="158"/>
      <c r="AC40" s="177"/>
      <c r="AD40" s="157"/>
      <c r="AE40" s="158"/>
      <c r="AF40" s="158"/>
      <c r="AG40" s="158"/>
      <c r="AH40" s="158"/>
      <c r="AI40" s="158"/>
      <c r="AJ40" s="186"/>
    </row>
    <row r="41" spans="4:36" ht="30" x14ac:dyDescent="0.25">
      <c r="D41" s="123" t="s">
        <v>81</v>
      </c>
      <c r="E41" s="122">
        <v>25000</v>
      </c>
      <c r="F41" s="151"/>
      <c r="G41" s="122">
        <f t="shared" si="19"/>
        <v>0</v>
      </c>
      <c r="H41" s="21"/>
      <c r="I41" s="157"/>
      <c r="J41" s="158"/>
      <c r="K41" s="158"/>
      <c r="L41" s="158"/>
      <c r="M41" s="158"/>
      <c r="N41" s="158"/>
      <c r="O41" s="177"/>
      <c r="P41" s="157"/>
      <c r="Q41" s="158"/>
      <c r="R41" s="158"/>
      <c r="S41" s="158"/>
      <c r="T41" s="158"/>
      <c r="U41" s="158"/>
      <c r="V41" s="177"/>
      <c r="W41" s="157"/>
      <c r="X41" s="158"/>
      <c r="Y41" s="158"/>
      <c r="Z41" s="158"/>
      <c r="AA41" s="158"/>
      <c r="AB41" s="158"/>
      <c r="AC41" s="177"/>
      <c r="AD41" s="157"/>
      <c r="AE41" s="158"/>
      <c r="AF41" s="158"/>
      <c r="AG41" s="158"/>
      <c r="AH41" s="158"/>
      <c r="AI41" s="158"/>
      <c r="AJ41" s="186"/>
    </row>
    <row r="42" spans="4:36" ht="30" x14ac:dyDescent="0.25">
      <c r="D42" s="123" t="s">
        <v>82</v>
      </c>
      <c r="E42" s="122">
        <v>45000</v>
      </c>
      <c r="F42" s="151"/>
      <c r="G42" s="122">
        <f t="shared" si="19"/>
        <v>0</v>
      </c>
      <c r="H42" s="21"/>
      <c r="I42" s="157"/>
      <c r="J42" s="158"/>
      <c r="K42" s="158"/>
      <c r="L42" s="158"/>
      <c r="M42" s="158"/>
      <c r="N42" s="158"/>
      <c r="O42" s="177"/>
      <c r="P42" s="157"/>
      <c r="Q42" s="158"/>
      <c r="R42" s="158"/>
      <c r="S42" s="158"/>
      <c r="T42" s="158"/>
      <c r="U42" s="158"/>
      <c r="V42" s="177"/>
      <c r="W42" s="157"/>
      <c r="X42" s="158"/>
      <c r="Y42" s="158"/>
      <c r="Z42" s="158"/>
      <c r="AA42" s="158"/>
      <c r="AB42" s="158"/>
      <c r="AC42" s="177"/>
      <c r="AD42" s="157"/>
      <c r="AE42" s="158"/>
      <c r="AF42" s="158"/>
      <c r="AG42" s="158"/>
      <c r="AH42" s="158"/>
      <c r="AI42" s="158"/>
      <c r="AJ42" s="186"/>
    </row>
    <row r="43" spans="4:36" x14ac:dyDescent="0.25">
      <c r="D43" s="123" t="s">
        <v>83</v>
      </c>
      <c r="E43" s="122">
        <v>6000</v>
      </c>
      <c r="F43" s="151"/>
      <c r="G43" s="122">
        <f t="shared" si="19"/>
        <v>0</v>
      </c>
      <c r="H43" s="21"/>
      <c r="I43" s="157"/>
      <c r="J43" s="158"/>
      <c r="K43" s="158"/>
      <c r="L43" s="158"/>
      <c r="M43" s="158"/>
      <c r="N43" s="158"/>
      <c r="O43" s="177"/>
      <c r="P43" s="157"/>
      <c r="Q43" s="158"/>
      <c r="R43" s="158"/>
      <c r="S43" s="158"/>
      <c r="T43" s="158"/>
      <c r="U43" s="158"/>
      <c r="V43" s="177"/>
      <c r="W43" s="157"/>
      <c r="X43" s="158"/>
      <c r="Y43" s="158"/>
      <c r="Z43" s="158"/>
      <c r="AA43" s="158"/>
      <c r="AB43" s="158"/>
      <c r="AC43" s="177"/>
      <c r="AD43" s="157"/>
      <c r="AE43" s="158"/>
      <c r="AF43" s="158"/>
      <c r="AG43" s="158"/>
      <c r="AH43" s="158"/>
      <c r="AI43" s="158"/>
      <c r="AJ43" s="186"/>
    </row>
    <row r="44" spans="4:36" x14ac:dyDescent="0.25">
      <c r="D44" s="123" t="s">
        <v>84</v>
      </c>
      <c r="E44" s="122">
        <v>7000</v>
      </c>
      <c r="F44" s="151"/>
      <c r="G44" s="122">
        <f t="shared" si="19"/>
        <v>0</v>
      </c>
      <c r="H44" s="21"/>
      <c r="I44" s="157"/>
      <c r="J44" s="158"/>
      <c r="K44" s="158"/>
      <c r="L44" s="158"/>
      <c r="M44" s="158"/>
      <c r="N44" s="158"/>
      <c r="O44" s="177"/>
      <c r="P44" s="157"/>
      <c r="Q44" s="158"/>
      <c r="R44" s="158"/>
      <c r="S44" s="158"/>
      <c r="T44" s="158"/>
      <c r="U44" s="158"/>
      <c r="V44" s="177"/>
      <c r="W44" s="157"/>
      <c r="X44" s="158"/>
      <c r="Y44" s="158"/>
      <c r="Z44" s="158"/>
      <c r="AA44" s="158"/>
      <c r="AB44" s="158"/>
      <c r="AC44" s="177"/>
      <c r="AD44" s="157"/>
      <c r="AE44" s="158"/>
      <c r="AF44" s="158"/>
      <c r="AG44" s="158"/>
      <c r="AH44" s="158"/>
      <c r="AI44" s="158"/>
      <c r="AJ44" s="186"/>
    </row>
    <row r="45" spans="4:36" ht="30" x14ac:dyDescent="0.25">
      <c r="D45" s="123" t="s">
        <v>85</v>
      </c>
      <c r="E45" s="122">
        <v>15000</v>
      </c>
      <c r="F45" s="151"/>
      <c r="G45" s="122">
        <f t="shared" si="19"/>
        <v>0</v>
      </c>
      <c r="H45" s="21"/>
      <c r="I45" s="157"/>
      <c r="J45" s="158"/>
      <c r="K45" s="158"/>
      <c r="L45" s="158"/>
      <c r="M45" s="158"/>
      <c r="N45" s="158"/>
      <c r="O45" s="177"/>
      <c r="P45" s="157"/>
      <c r="Q45" s="158"/>
      <c r="R45" s="158"/>
      <c r="S45" s="158"/>
      <c r="T45" s="158"/>
      <c r="U45" s="158"/>
      <c r="V45" s="177"/>
      <c r="W45" s="157"/>
      <c r="X45" s="158"/>
      <c r="Y45" s="158"/>
      <c r="Z45" s="158"/>
      <c r="AA45" s="158"/>
      <c r="AB45" s="158"/>
      <c r="AC45" s="177"/>
      <c r="AD45" s="157"/>
      <c r="AE45" s="158"/>
      <c r="AF45" s="158"/>
      <c r="AG45" s="158"/>
      <c r="AH45" s="158"/>
      <c r="AI45" s="158"/>
      <c r="AJ45" s="186"/>
    </row>
    <row r="46" spans="4:36" x14ac:dyDescent="0.25">
      <c r="D46" s="123" t="s">
        <v>87</v>
      </c>
      <c r="E46" s="122">
        <v>30000</v>
      </c>
      <c r="F46" s="151"/>
      <c r="G46" s="122">
        <f t="shared" si="19"/>
        <v>0</v>
      </c>
      <c r="H46" s="21"/>
      <c r="I46" s="157"/>
      <c r="J46" s="158"/>
      <c r="K46" s="158"/>
      <c r="L46" s="158"/>
      <c r="M46" s="158"/>
      <c r="N46" s="158"/>
      <c r="O46" s="177"/>
      <c r="P46" s="157"/>
      <c r="Q46" s="158"/>
      <c r="R46" s="158"/>
      <c r="S46" s="158"/>
      <c r="T46" s="158"/>
      <c r="U46" s="158"/>
      <c r="V46" s="177"/>
      <c r="W46" s="157"/>
      <c r="X46" s="158"/>
      <c r="Y46" s="158"/>
      <c r="Z46" s="158"/>
      <c r="AA46" s="158"/>
      <c r="AB46" s="158"/>
      <c r="AC46" s="177"/>
      <c r="AD46" s="157"/>
      <c r="AE46" s="158"/>
      <c r="AF46" s="158"/>
      <c r="AG46" s="158"/>
      <c r="AH46" s="158"/>
      <c r="AI46" s="158"/>
      <c r="AJ46" s="186"/>
    </row>
    <row r="47" spans="4:36" ht="30" x14ac:dyDescent="0.25">
      <c r="D47" s="123" t="s">
        <v>86</v>
      </c>
      <c r="E47" s="122">
        <v>55000</v>
      </c>
      <c r="F47" s="151"/>
      <c r="G47" s="122">
        <f t="shared" si="19"/>
        <v>0</v>
      </c>
      <c r="H47" s="21"/>
      <c r="I47" s="157"/>
      <c r="J47" s="158"/>
      <c r="K47" s="158"/>
      <c r="L47" s="158"/>
      <c r="M47" s="158"/>
      <c r="N47" s="158"/>
      <c r="O47" s="177"/>
      <c r="P47" s="157"/>
      <c r="Q47" s="158"/>
      <c r="R47" s="158"/>
      <c r="S47" s="158"/>
      <c r="T47" s="158"/>
      <c r="U47" s="158"/>
      <c r="V47" s="177"/>
      <c r="W47" s="157"/>
      <c r="X47" s="158"/>
      <c r="Y47" s="158"/>
      <c r="Z47" s="158"/>
      <c r="AA47" s="158"/>
      <c r="AB47" s="158"/>
      <c r="AC47" s="177"/>
      <c r="AD47" s="157"/>
      <c r="AE47" s="158"/>
      <c r="AF47" s="158"/>
      <c r="AG47" s="158"/>
      <c r="AH47" s="158"/>
      <c r="AI47" s="158"/>
      <c r="AJ47" s="186"/>
    </row>
    <row r="48" spans="4:36" ht="45" x14ac:dyDescent="0.25">
      <c r="D48" s="123" t="s">
        <v>88</v>
      </c>
      <c r="E48" s="122">
        <v>130000</v>
      </c>
      <c r="F48" s="151"/>
      <c r="G48" s="122">
        <f t="shared" si="19"/>
        <v>0</v>
      </c>
      <c r="H48" s="21"/>
      <c r="I48" s="157"/>
      <c r="J48" s="158"/>
      <c r="K48" s="158"/>
      <c r="L48" s="158"/>
      <c r="M48" s="158"/>
      <c r="N48" s="158"/>
      <c r="O48" s="177"/>
      <c r="P48" s="157"/>
      <c r="Q48" s="158"/>
      <c r="R48" s="158"/>
      <c r="S48" s="158"/>
      <c r="T48" s="158"/>
      <c r="U48" s="158"/>
      <c r="V48" s="177"/>
      <c r="W48" s="157"/>
      <c r="X48" s="158"/>
      <c r="Y48" s="158"/>
      <c r="Z48" s="158"/>
      <c r="AA48" s="158"/>
      <c r="AB48" s="158"/>
      <c r="AC48" s="177"/>
      <c r="AD48" s="157"/>
      <c r="AE48" s="158"/>
      <c r="AF48" s="158"/>
      <c r="AG48" s="158"/>
      <c r="AH48" s="158"/>
      <c r="AI48" s="158"/>
      <c r="AJ48" s="186"/>
    </row>
    <row r="49" spans="4:36" x14ac:dyDescent="0.25">
      <c r="D49" s="111" t="s">
        <v>62</v>
      </c>
      <c r="E49" s="122">
        <v>60000</v>
      </c>
      <c r="F49" s="151"/>
      <c r="G49" s="124">
        <f t="shared" si="19"/>
        <v>0</v>
      </c>
      <c r="H49" s="21"/>
      <c r="I49" s="157"/>
      <c r="J49" s="158"/>
      <c r="K49" s="158"/>
      <c r="L49" s="158"/>
      <c r="M49" s="158"/>
      <c r="N49" s="158"/>
      <c r="O49" s="177"/>
      <c r="P49" s="157"/>
      <c r="Q49" s="158"/>
      <c r="R49" s="158"/>
      <c r="S49" s="158"/>
      <c r="T49" s="158"/>
      <c r="U49" s="158"/>
      <c r="V49" s="177"/>
      <c r="W49" s="157"/>
      <c r="X49" s="158"/>
      <c r="Y49" s="158"/>
      <c r="Z49" s="158"/>
      <c r="AA49" s="158"/>
      <c r="AB49" s="158"/>
      <c r="AC49" s="177"/>
      <c r="AD49" s="157"/>
      <c r="AE49" s="158"/>
      <c r="AF49" s="158"/>
      <c r="AG49" s="158"/>
      <c r="AH49" s="158"/>
      <c r="AI49" s="158"/>
      <c r="AJ49" s="186"/>
    </row>
    <row r="50" spans="4:36" x14ac:dyDescent="0.25">
      <c r="D50" s="111" t="s">
        <v>104</v>
      </c>
      <c r="E50" s="122">
        <v>160000</v>
      </c>
      <c r="F50" s="151"/>
      <c r="G50" s="124">
        <f t="shared" si="19"/>
        <v>0</v>
      </c>
      <c r="H50" s="50"/>
      <c r="I50" s="157"/>
      <c r="J50" s="158"/>
      <c r="K50" s="158"/>
      <c r="L50" s="158"/>
      <c r="M50" s="158"/>
      <c r="N50" s="158"/>
      <c r="O50" s="177"/>
      <c r="P50" s="157"/>
      <c r="Q50" s="158"/>
      <c r="R50" s="158"/>
      <c r="S50" s="158"/>
      <c r="T50" s="158"/>
      <c r="U50" s="158"/>
      <c r="V50" s="177"/>
      <c r="W50" s="157"/>
      <c r="X50" s="158"/>
      <c r="Y50" s="158"/>
      <c r="Z50" s="158"/>
      <c r="AA50" s="158"/>
      <c r="AB50" s="158"/>
      <c r="AC50" s="177"/>
      <c r="AD50" s="157"/>
      <c r="AE50" s="158"/>
      <c r="AF50" s="158"/>
      <c r="AG50" s="158"/>
      <c r="AH50" s="158"/>
      <c r="AI50" s="158"/>
      <c r="AJ50" s="186"/>
    </row>
    <row r="51" spans="4:36" x14ac:dyDescent="0.25">
      <c r="D51" s="113" t="s">
        <v>105</v>
      </c>
      <c r="E51" s="124">
        <v>280000</v>
      </c>
      <c r="F51" s="151"/>
      <c r="G51" s="124">
        <f t="shared" si="19"/>
        <v>0</v>
      </c>
      <c r="H51" s="51"/>
      <c r="I51" s="157"/>
      <c r="J51" s="158"/>
      <c r="K51" s="158"/>
      <c r="L51" s="158"/>
      <c r="M51" s="158"/>
      <c r="N51" s="158"/>
      <c r="O51" s="177"/>
      <c r="P51" s="157"/>
      <c r="Q51" s="158"/>
      <c r="R51" s="158"/>
      <c r="S51" s="158"/>
      <c r="T51" s="158"/>
      <c r="U51" s="158"/>
      <c r="V51" s="177"/>
      <c r="W51" s="157"/>
      <c r="X51" s="158"/>
      <c r="Y51" s="158"/>
      <c r="Z51" s="158"/>
      <c r="AA51" s="158"/>
      <c r="AB51" s="158"/>
      <c r="AC51" s="177"/>
      <c r="AD51" s="157"/>
      <c r="AE51" s="158"/>
      <c r="AF51" s="158"/>
      <c r="AG51" s="158"/>
      <c r="AH51" s="158"/>
      <c r="AI51" s="158"/>
      <c r="AJ51" s="186"/>
    </row>
    <row r="52" spans="4:36" x14ac:dyDescent="0.25">
      <c r="D52" s="125" t="s">
        <v>63</v>
      </c>
      <c r="E52" s="124">
        <v>30000</v>
      </c>
      <c r="F52" s="151"/>
      <c r="G52" s="124">
        <f t="shared" si="19"/>
        <v>0</v>
      </c>
      <c r="H52" s="11"/>
      <c r="I52" s="157"/>
      <c r="J52" s="158"/>
      <c r="K52" s="158"/>
      <c r="L52" s="158"/>
      <c r="M52" s="158"/>
      <c r="N52" s="158"/>
      <c r="O52" s="177"/>
      <c r="P52" s="157"/>
      <c r="Q52" s="158"/>
      <c r="R52" s="158"/>
      <c r="S52" s="158"/>
      <c r="T52" s="158"/>
      <c r="U52" s="158"/>
      <c r="V52" s="177"/>
      <c r="W52" s="157"/>
      <c r="X52" s="158"/>
      <c r="Y52" s="158"/>
      <c r="Z52" s="158"/>
      <c r="AA52" s="158"/>
      <c r="AB52" s="158"/>
      <c r="AC52" s="177"/>
      <c r="AD52" s="157"/>
      <c r="AE52" s="158"/>
      <c r="AF52" s="158"/>
      <c r="AG52" s="158"/>
      <c r="AH52" s="158"/>
      <c r="AI52" s="158"/>
      <c r="AJ52" s="186"/>
    </row>
    <row r="53" spans="4:36" ht="30" x14ac:dyDescent="0.25">
      <c r="D53" s="125" t="s">
        <v>64</v>
      </c>
      <c r="E53" s="124">
        <v>55000</v>
      </c>
      <c r="F53" s="151"/>
      <c r="G53" s="124">
        <f t="shared" si="19"/>
        <v>0</v>
      </c>
      <c r="H53" s="11"/>
      <c r="I53" s="157"/>
      <c r="J53" s="158"/>
      <c r="K53" s="158"/>
      <c r="L53" s="158"/>
      <c r="M53" s="158"/>
      <c r="N53" s="158"/>
      <c r="O53" s="177"/>
      <c r="P53" s="157"/>
      <c r="Q53" s="158"/>
      <c r="R53" s="158"/>
      <c r="S53" s="158"/>
      <c r="T53" s="158"/>
      <c r="U53" s="158"/>
      <c r="V53" s="177"/>
      <c r="W53" s="157"/>
      <c r="X53" s="158"/>
      <c r="Y53" s="158"/>
      <c r="Z53" s="158"/>
      <c r="AA53" s="158"/>
      <c r="AB53" s="158"/>
      <c r="AC53" s="177"/>
      <c r="AD53" s="157"/>
      <c r="AE53" s="158"/>
      <c r="AF53" s="158"/>
      <c r="AG53" s="158"/>
      <c r="AH53" s="158"/>
      <c r="AI53" s="158"/>
      <c r="AJ53" s="186"/>
    </row>
    <row r="54" spans="4:36" ht="30" x14ac:dyDescent="0.25">
      <c r="D54" s="125" t="s">
        <v>65</v>
      </c>
      <c r="E54" s="124">
        <v>130000</v>
      </c>
      <c r="F54" s="151"/>
      <c r="G54" s="124">
        <f t="shared" si="19"/>
        <v>0</v>
      </c>
      <c r="H54" s="11"/>
      <c r="I54" s="157"/>
      <c r="J54" s="158"/>
      <c r="K54" s="158"/>
      <c r="L54" s="158"/>
      <c r="M54" s="158"/>
      <c r="N54" s="158"/>
      <c r="O54" s="177"/>
      <c r="P54" s="157"/>
      <c r="Q54" s="158"/>
      <c r="R54" s="158"/>
      <c r="S54" s="158"/>
      <c r="T54" s="158"/>
      <c r="U54" s="158"/>
      <c r="V54" s="177"/>
      <c r="W54" s="157"/>
      <c r="X54" s="158"/>
      <c r="Y54" s="158"/>
      <c r="Z54" s="158"/>
      <c r="AA54" s="158"/>
      <c r="AB54" s="158"/>
      <c r="AC54" s="177"/>
      <c r="AD54" s="157"/>
      <c r="AE54" s="158"/>
      <c r="AF54" s="158"/>
      <c r="AG54" s="158"/>
      <c r="AH54" s="158"/>
      <c r="AI54" s="158"/>
      <c r="AJ54" s="186"/>
    </row>
    <row r="55" spans="4:36" ht="30" x14ac:dyDescent="0.25">
      <c r="D55" s="125" t="s">
        <v>66</v>
      </c>
      <c r="E55" s="124">
        <v>23000</v>
      </c>
      <c r="F55" s="151"/>
      <c r="G55" s="124">
        <f t="shared" si="19"/>
        <v>0</v>
      </c>
      <c r="H55" s="11"/>
      <c r="I55" s="157"/>
      <c r="J55" s="158"/>
      <c r="K55" s="158"/>
      <c r="L55" s="158"/>
      <c r="M55" s="158"/>
      <c r="N55" s="158"/>
      <c r="O55" s="177"/>
      <c r="P55" s="157"/>
      <c r="Q55" s="158"/>
      <c r="R55" s="158"/>
      <c r="S55" s="158"/>
      <c r="T55" s="158"/>
      <c r="U55" s="158"/>
      <c r="V55" s="177"/>
      <c r="W55" s="157"/>
      <c r="X55" s="158"/>
      <c r="Y55" s="158"/>
      <c r="Z55" s="158"/>
      <c r="AA55" s="158"/>
      <c r="AB55" s="158"/>
      <c r="AC55" s="177"/>
      <c r="AD55" s="157"/>
      <c r="AE55" s="158"/>
      <c r="AF55" s="158"/>
      <c r="AG55" s="158"/>
      <c r="AH55" s="158"/>
      <c r="AI55" s="158"/>
      <c r="AJ55" s="186"/>
    </row>
    <row r="56" spans="4:36" x14ac:dyDescent="0.25">
      <c r="D56" s="125" t="s">
        <v>67</v>
      </c>
      <c r="E56" s="124">
        <v>35000</v>
      </c>
      <c r="F56" s="151"/>
      <c r="G56" s="124">
        <f t="shared" si="19"/>
        <v>0</v>
      </c>
      <c r="H56" s="11"/>
      <c r="I56" s="157"/>
      <c r="J56" s="158"/>
      <c r="K56" s="158"/>
      <c r="L56" s="158"/>
      <c r="M56" s="158"/>
      <c r="N56" s="158"/>
      <c r="O56" s="177"/>
      <c r="P56" s="157"/>
      <c r="Q56" s="158"/>
      <c r="R56" s="158"/>
      <c r="S56" s="158"/>
      <c r="T56" s="158"/>
      <c r="U56" s="158"/>
      <c r="V56" s="177"/>
      <c r="W56" s="157"/>
      <c r="X56" s="158"/>
      <c r="Y56" s="158"/>
      <c r="Z56" s="158"/>
      <c r="AA56" s="158"/>
      <c r="AB56" s="158"/>
      <c r="AC56" s="177"/>
      <c r="AD56" s="157"/>
      <c r="AE56" s="158"/>
      <c r="AF56" s="158"/>
      <c r="AG56" s="158"/>
      <c r="AH56" s="158"/>
      <c r="AI56" s="158"/>
      <c r="AJ56" s="186"/>
    </row>
    <row r="57" spans="4:36" x14ac:dyDescent="0.25">
      <c r="D57" s="125" t="s">
        <v>68</v>
      </c>
      <c r="E57" s="124">
        <v>45000</v>
      </c>
      <c r="F57" s="151"/>
      <c r="G57" s="124">
        <f t="shared" si="19"/>
        <v>0</v>
      </c>
      <c r="H57" s="11"/>
      <c r="I57" s="157"/>
      <c r="J57" s="158"/>
      <c r="K57" s="158"/>
      <c r="L57" s="158"/>
      <c r="M57" s="158"/>
      <c r="N57" s="158"/>
      <c r="O57" s="177"/>
      <c r="P57" s="157"/>
      <c r="Q57" s="158"/>
      <c r="R57" s="158"/>
      <c r="S57" s="158"/>
      <c r="T57" s="158"/>
      <c r="U57" s="158"/>
      <c r="V57" s="177"/>
      <c r="W57" s="157"/>
      <c r="X57" s="158"/>
      <c r="Y57" s="158"/>
      <c r="Z57" s="158"/>
      <c r="AA57" s="158"/>
      <c r="AB57" s="158"/>
      <c r="AC57" s="177"/>
      <c r="AD57" s="157"/>
      <c r="AE57" s="158"/>
      <c r="AF57" s="158"/>
      <c r="AG57" s="158"/>
      <c r="AH57" s="158"/>
      <c r="AI57" s="158"/>
      <c r="AJ57" s="186"/>
    </row>
    <row r="58" spans="4:36" x14ac:dyDescent="0.25">
      <c r="D58" s="125" t="s">
        <v>69</v>
      </c>
      <c r="E58" s="124">
        <v>70000</v>
      </c>
      <c r="F58" s="151"/>
      <c r="G58" s="124">
        <f t="shared" si="19"/>
        <v>0</v>
      </c>
      <c r="H58" s="11"/>
      <c r="I58" s="157"/>
      <c r="J58" s="158"/>
      <c r="K58" s="158"/>
      <c r="L58" s="158"/>
      <c r="M58" s="158"/>
      <c r="N58" s="158"/>
      <c r="O58" s="177"/>
      <c r="P58" s="157"/>
      <c r="Q58" s="158"/>
      <c r="R58" s="158"/>
      <c r="S58" s="158"/>
      <c r="T58" s="158"/>
      <c r="U58" s="158"/>
      <c r="V58" s="177"/>
      <c r="W58" s="157"/>
      <c r="X58" s="158"/>
      <c r="Y58" s="158"/>
      <c r="Z58" s="158"/>
      <c r="AA58" s="158"/>
      <c r="AB58" s="158"/>
      <c r="AC58" s="177"/>
      <c r="AD58" s="157"/>
      <c r="AE58" s="158"/>
      <c r="AF58" s="158"/>
      <c r="AG58" s="158"/>
      <c r="AH58" s="158"/>
      <c r="AI58" s="158"/>
      <c r="AJ58" s="186"/>
    </row>
    <row r="59" spans="4:36" x14ac:dyDescent="0.25">
      <c r="D59" s="125"/>
      <c r="E59" s="124"/>
      <c r="F59" s="14"/>
      <c r="G59" s="124"/>
      <c r="H59" s="11"/>
      <c r="I59" s="38"/>
      <c r="J59" s="39"/>
      <c r="K59" s="39"/>
      <c r="L59" s="39"/>
      <c r="M59" s="39"/>
      <c r="N59" s="39"/>
      <c r="O59" s="180"/>
      <c r="P59" s="38"/>
      <c r="Q59" s="40"/>
      <c r="R59" s="40"/>
      <c r="S59" s="40"/>
      <c r="T59" s="40"/>
      <c r="U59" s="39"/>
      <c r="V59" s="180"/>
      <c r="W59" s="38"/>
      <c r="X59" s="39"/>
      <c r="Y59" s="39"/>
      <c r="Z59" s="39"/>
      <c r="AA59" s="39"/>
      <c r="AB59" s="39"/>
      <c r="AC59" s="180"/>
      <c r="AD59" s="38"/>
      <c r="AE59" s="40"/>
      <c r="AF59" s="40"/>
      <c r="AG59" s="39"/>
      <c r="AH59" s="39"/>
      <c r="AI59" s="39"/>
      <c r="AJ59" s="180"/>
    </row>
    <row r="60" spans="4:36" ht="15.75" x14ac:dyDescent="0.25">
      <c r="D60" s="71" t="s">
        <v>13</v>
      </c>
      <c r="E60" s="72"/>
      <c r="F60" s="73"/>
      <c r="G60" s="74">
        <f>SUM(G61:G71)</f>
        <v>0</v>
      </c>
      <c r="H60" s="75"/>
      <c r="I60" s="76" t="str">
        <f>IF(CONCATENATE(I61,I62,I63,I64,I65,I66,I68,I70)&gt;" ","х"," ")</f>
        <v xml:space="preserve"> </v>
      </c>
      <c r="J60" s="77" t="str">
        <f>IF(CONCATENATE(J61,J62,J63,J64,J65,J66,J68,J70)&gt;" ","х"," ")</f>
        <v xml:space="preserve"> </v>
      </c>
      <c r="K60" s="77" t="str">
        <f t="shared" ref="K60:O60" si="24">IF(CONCATENATE(K61,K62,K63,K64,K65,K66,K68,K70)&gt;" ","х"," ")</f>
        <v xml:space="preserve"> </v>
      </c>
      <c r="L60" s="77" t="str">
        <f t="shared" si="24"/>
        <v xml:space="preserve"> </v>
      </c>
      <c r="M60" s="77" t="str">
        <f t="shared" si="24"/>
        <v xml:space="preserve"> </v>
      </c>
      <c r="N60" s="77" t="str">
        <f t="shared" si="24"/>
        <v xml:space="preserve"> </v>
      </c>
      <c r="O60" s="179" t="str">
        <f t="shared" si="24"/>
        <v xml:space="preserve"> </v>
      </c>
      <c r="P60" s="76" t="str">
        <f>IF(CONCATENATE(P61,P62,P63,P64,P65,P66,P68,P70)&gt;" ","х"," ")</f>
        <v xml:space="preserve"> </v>
      </c>
      <c r="Q60" s="77" t="str">
        <f>IF(CONCATENATE(Q61,Q62,Q63,Q64,Q65,Q66,Q68,Q70)&gt;" ","х"," ")</f>
        <v xml:space="preserve"> </v>
      </c>
      <c r="R60" s="77" t="str">
        <f t="shared" ref="R60:V60" si="25">IF(CONCATENATE(R61,R62,R63,R64,R65,R66,R68,R70)&gt;" ","х"," ")</f>
        <v xml:space="preserve"> </v>
      </c>
      <c r="S60" s="77" t="str">
        <f t="shared" si="25"/>
        <v xml:space="preserve"> </v>
      </c>
      <c r="T60" s="77" t="str">
        <f t="shared" si="25"/>
        <v xml:space="preserve"> </v>
      </c>
      <c r="U60" s="77" t="str">
        <f t="shared" si="25"/>
        <v xml:space="preserve"> </v>
      </c>
      <c r="V60" s="179" t="str">
        <f t="shared" si="25"/>
        <v xml:space="preserve"> </v>
      </c>
      <c r="W60" s="76" t="str">
        <f>IF(CONCATENATE(W61,W62,W63,W64,W65,W66,W68,W70)&gt;" ","х"," ")</f>
        <v xml:space="preserve"> </v>
      </c>
      <c r="X60" s="77" t="str">
        <f>IF(CONCATENATE(X61,X62,X63,X64,X65,X66,X68,X70)&gt;" ","х"," ")</f>
        <v xml:space="preserve"> </v>
      </c>
      <c r="Y60" s="77" t="str">
        <f t="shared" ref="Y60:AC60" si="26">IF(CONCATENATE(Y61,Y62,Y63,Y64,Y65,Y66,Y68,Y70)&gt;" ","х"," ")</f>
        <v xml:space="preserve"> </v>
      </c>
      <c r="Z60" s="77" t="str">
        <f t="shared" si="26"/>
        <v xml:space="preserve"> </v>
      </c>
      <c r="AA60" s="77" t="str">
        <f t="shared" si="26"/>
        <v xml:space="preserve"> </v>
      </c>
      <c r="AB60" s="77" t="str">
        <f t="shared" si="26"/>
        <v xml:space="preserve"> </v>
      </c>
      <c r="AC60" s="179" t="str">
        <f t="shared" si="26"/>
        <v xml:space="preserve"> </v>
      </c>
      <c r="AD60" s="76" t="str">
        <f>IF(CONCATENATE(AD61,AD62,AD63,AD64,AD65,AD66,AD68,AD70)&gt;" ","х"," ")</f>
        <v xml:space="preserve"> </v>
      </c>
      <c r="AE60" s="77" t="str">
        <f>IF(CONCATENATE(AE61,AE62,AE63,AE64,AE65,AE66,AE68,AE70)&gt;" ","х"," ")</f>
        <v xml:space="preserve"> </v>
      </c>
      <c r="AF60" s="77" t="str">
        <f t="shared" ref="AF60:AJ60" si="27">IF(CONCATENATE(AF61,AF62,AF63,AF64,AF65,AF66,AF68,AF70)&gt;" ","х"," ")</f>
        <v xml:space="preserve"> </v>
      </c>
      <c r="AG60" s="77" t="str">
        <f t="shared" si="27"/>
        <v xml:space="preserve"> </v>
      </c>
      <c r="AH60" s="77" t="str">
        <f t="shared" si="27"/>
        <v xml:space="preserve"> </v>
      </c>
      <c r="AI60" s="77" t="str">
        <f t="shared" si="27"/>
        <v xml:space="preserve"> </v>
      </c>
      <c r="AJ60" s="180" t="str">
        <f t="shared" si="27"/>
        <v xml:space="preserve"> </v>
      </c>
    </row>
    <row r="61" spans="4:36" x14ac:dyDescent="0.25">
      <c r="D61" s="113" t="s">
        <v>40</v>
      </c>
      <c r="E61" s="124">
        <v>42500</v>
      </c>
      <c r="F61" s="151"/>
      <c r="G61" s="124">
        <f>E61*F61</f>
        <v>0</v>
      </c>
      <c r="H61" s="11"/>
      <c r="I61" s="157"/>
      <c r="J61" s="158"/>
      <c r="K61" s="158"/>
      <c r="L61" s="158"/>
      <c r="M61" s="158"/>
      <c r="N61" s="158"/>
      <c r="O61" s="177"/>
      <c r="P61" s="157"/>
      <c r="Q61" s="158"/>
      <c r="R61" s="158"/>
      <c r="S61" s="158"/>
      <c r="T61" s="158"/>
      <c r="U61" s="158"/>
      <c r="V61" s="177"/>
      <c r="W61" s="157"/>
      <c r="X61" s="158"/>
      <c r="Y61" s="158"/>
      <c r="Z61" s="158"/>
      <c r="AA61" s="158"/>
      <c r="AB61" s="158"/>
      <c r="AC61" s="177"/>
      <c r="AD61" s="157"/>
      <c r="AE61" s="158"/>
      <c r="AF61" s="158"/>
      <c r="AG61" s="158"/>
      <c r="AH61" s="158"/>
      <c r="AI61" s="158"/>
      <c r="AJ61" s="186"/>
    </row>
    <row r="62" spans="4:36" x14ac:dyDescent="0.25">
      <c r="D62" s="113" t="s">
        <v>41</v>
      </c>
      <c r="E62" s="124">
        <v>67500</v>
      </c>
      <c r="F62" s="151"/>
      <c r="G62" s="124">
        <f t="shared" ref="G62:G63" si="28">E62*F62</f>
        <v>0</v>
      </c>
      <c r="H62" s="11"/>
      <c r="I62" s="157"/>
      <c r="J62" s="158"/>
      <c r="K62" s="158"/>
      <c r="L62" s="158"/>
      <c r="M62" s="158"/>
      <c r="N62" s="158"/>
      <c r="O62" s="177"/>
      <c r="P62" s="157"/>
      <c r="Q62" s="158"/>
      <c r="R62" s="158"/>
      <c r="S62" s="158"/>
      <c r="T62" s="158"/>
      <c r="U62" s="158"/>
      <c r="V62" s="177"/>
      <c r="W62" s="157"/>
      <c r="X62" s="158"/>
      <c r="Y62" s="158"/>
      <c r="Z62" s="158"/>
      <c r="AA62" s="158"/>
      <c r="AB62" s="158"/>
      <c r="AC62" s="177"/>
      <c r="AD62" s="157"/>
      <c r="AE62" s="158"/>
      <c r="AF62" s="158"/>
      <c r="AG62" s="158"/>
      <c r="AH62" s="158"/>
      <c r="AI62" s="158"/>
      <c r="AJ62" s="186"/>
    </row>
    <row r="63" spans="4:36" x14ac:dyDescent="0.25">
      <c r="D63" s="113" t="s">
        <v>102</v>
      </c>
      <c r="E63" s="124">
        <v>115000</v>
      </c>
      <c r="F63" s="151"/>
      <c r="G63" s="124">
        <f t="shared" si="28"/>
        <v>0</v>
      </c>
      <c r="H63" s="11"/>
      <c r="I63" s="157"/>
      <c r="J63" s="158"/>
      <c r="K63" s="158"/>
      <c r="L63" s="158"/>
      <c r="M63" s="158"/>
      <c r="N63" s="158"/>
      <c r="O63" s="177"/>
      <c r="P63" s="157"/>
      <c r="Q63" s="158"/>
      <c r="R63" s="158"/>
      <c r="S63" s="158"/>
      <c r="T63" s="158"/>
      <c r="U63" s="158"/>
      <c r="V63" s="177"/>
      <c r="W63" s="157"/>
      <c r="X63" s="158"/>
      <c r="Y63" s="158"/>
      <c r="Z63" s="158"/>
      <c r="AA63" s="158"/>
      <c r="AB63" s="158"/>
      <c r="AC63" s="177"/>
      <c r="AD63" s="157"/>
      <c r="AE63" s="158"/>
      <c r="AF63" s="158"/>
      <c r="AG63" s="158"/>
      <c r="AH63" s="158"/>
      <c r="AI63" s="158"/>
      <c r="AJ63" s="186"/>
    </row>
    <row r="64" spans="4:36" x14ac:dyDescent="0.25">
      <c r="D64" s="125" t="s">
        <v>29</v>
      </c>
      <c r="E64" s="124">
        <v>33000</v>
      </c>
      <c r="F64" s="151"/>
      <c r="G64" s="124">
        <f>E64*F64</f>
        <v>0</v>
      </c>
      <c r="H64" s="11"/>
      <c r="I64" s="157"/>
      <c r="J64" s="158"/>
      <c r="K64" s="158"/>
      <c r="L64" s="158"/>
      <c r="M64" s="158"/>
      <c r="N64" s="158"/>
      <c r="O64" s="177"/>
      <c r="P64" s="157"/>
      <c r="Q64" s="158"/>
      <c r="R64" s="158"/>
      <c r="S64" s="158"/>
      <c r="T64" s="158"/>
      <c r="U64" s="158"/>
      <c r="V64" s="177"/>
      <c r="W64" s="157"/>
      <c r="X64" s="158"/>
      <c r="Y64" s="158"/>
      <c r="Z64" s="158"/>
      <c r="AA64" s="158"/>
      <c r="AB64" s="158"/>
      <c r="AC64" s="177"/>
      <c r="AD64" s="157"/>
      <c r="AE64" s="158"/>
      <c r="AF64" s="158"/>
      <c r="AG64" s="158"/>
      <c r="AH64" s="158"/>
      <c r="AI64" s="158"/>
      <c r="AJ64" s="186"/>
    </row>
    <row r="65" spans="4:36" x14ac:dyDescent="0.25">
      <c r="D65" s="125" t="s">
        <v>4</v>
      </c>
      <c r="E65" s="124">
        <v>80000</v>
      </c>
      <c r="F65" s="151"/>
      <c r="G65" s="124">
        <f t="shared" ref="G65" si="29">E65*F65</f>
        <v>0</v>
      </c>
      <c r="H65" s="11"/>
      <c r="I65" s="157"/>
      <c r="J65" s="158"/>
      <c r="K65" s="158"/>
      <c r="L65" s="158"/>
      <c r="M65" s="158"/>
      <c r="N65" s="158"/>
      <c r="O65" s="177"/>
      <c r="P65" s="157"/>
      <c r="Q65" s="158"/>
      <c r="R65" s="158"/>
      <c r="S65" s="158"/>
      <c r="T65" s="158"/>
      <c r="U65" s="158"/>
      <c r="V65" s="177"/>
      <c r="W65" s="157"/>
      <c r="X65" s="158"/>
      <c r="Y65" s="158"/>
      <c r="Z65" s="158"/>
      <c r="AA65" s="158"/>
      <c r="AB65" s="158"/>
      <c r="AC65" s="177"/>
      <c r="AD65" s="157"/>
      <c r="AE65" s="158"/>
      <c r="AF65" s="158"/>
      <c r="AG65" s="158"/>
      <c r="AH65" s="158"/>
      <c r="AI65" s="158"/>
      <c r="AJ65" s="186"/>
    </row>
    <row r="66" spans="4:36" x14ac:dyDescent="0.25">
      <c r="D66" s="113" t="s">
        <v>30</v>
      </c>
      <c r="E66" s="124">
        <v>35000</v>
      </c>
      <c r="F66" s="151"/>
      <c r="G66" s="124">
        <f>E66*F66</f>
        <v>0</v>
      </c>
      <c r="H66" s="11"/>
      <c r="I66" s="157"/>
      <c r="J66" s="158"/>
      <c r="K66" s="158"/>
      <c r="L66" s="158"/>
      <c r="M66" s="158"/>
      <c r="N66" s="158"/>
      <c r="O66" s="177"/>
      <c r="P66" s="157"/>
      <c r="Q66" s="158"/>
      <c r="R66" s="158"/>
      <c r="S66" s="158"/>
      <c r="T66" s="158"/>
      <c r="U66" s="158"/>
      <c r="V66" s="177"/>
      <c r="W66" s="157"/>
      <c r="X66" s="158"/>
      <c r="Y66" s="158"/>
      <c r="Z66" s="158"/>
      <c r="AA66" s="158"/>
      <c r="AB66" s="158"/>
      <c r="AC66" s="177"/>
      <c r="AD66" s="157"/>
      <c r="AE66" s="158"/>
      <c r="AF66" s="158"/>
      <c r="AG66" s="158"/>
      <c r="AH66" s="158"/>
      <c r="AI66" s="158"/>
      <c r="AJ66" s="186"/>
    </row>
    <row r="67" spans="4:36" ht="30" x14ac:dyDescent="0.25">
      <c r="D67" s="118" t="s">
        <v>113</v>
      </c>
      <c r="E67" s="114">
        <v>3300</v>
      </c>
      <c r="F67" s="151"/>
      <c r="G67" s="124">
        <f>E67*F67</f>
        <v>0</v>
      </c>
      <c r="H67" s="11"/>
      <c r="I67" s="157"/>
      <c r="J67" s="158"/>
      <c r="K67" s="158"/>
      <c r="L67" s="158"/>
      <c r="M67" s="158"/>
      <c r="N67" s="158"/>
      <c r="O67" s="177"/>
      <c r="P67" s="157"/>
      <c r="Q67" s="158"/>
      <c r="R67" s="158"/>
      <c r="S67" s="158"/>
      <c r="T67" s="158"/>
      <c r="U67" s="158"/>
      <c r="V67" s="177"/>
      <c r="W67" s="157"/>
      <c r="X67" s="158"/>
      <c r="Y67" s="158"/>
      <c r="Z67" s="158"/>
      <c r="AA67" s="158"/>
      <c r="AB67" s="158"/>
      <c r="AC67" s="177"/>
      <c r="AD67" s="157"/>
      <c r="AE67" s="158"/>
      <c r="AF67" s="158"/>
      <c r="AG67" s="158"/>
      <c r="AH67" s="158"/>
      <c r="AI67" s="158"/>
      <c r="AJ67" s="186"/>
    </row>
    <row r="68" spans="4:36" x14ac:dyDescent="0.25">
      <c r="D68" s="113" t="s">
        <v>31</v>
      </c>
      <c r="E68" s="124">
        <v>51000</v>
      </c>
      <c r="F68" s="151"/>
      <c r="G68" s="124">
        <f t="shared" ref="G68:G71" si="30">E68*F68</f>
        <v>0</v>
      </c>
      <c r="H68" s="11"/>
      <c r="I68" s="157"/>
      <c r="J68" s="158"/>
      <c r="K68" s="158"/>
      <c r="L68" s="158"/>
      <c r="M68" s="158"/>
      <c r="N68" s="158"/>
      <c r="O68" s="177"/>
      <c r="P68" s="157"/>
      <c r="Q68" s="158"/>
      <c r="R68" s="158"/>
      <c r="S68" s="158"/>
      <c r="T68" s="158"/>
      <c r="U68" s="158"/>
      <c r="V68" s="177"/>
      <c r="W68" s="157"/>
      <c r="X68" s="158"/>
      <c r="Y68" s="158"/>
      <c r="Z68" s="158"/>
      <c r="AA68" s="158"/>
      <c r="AB68" s="158"/>
      <c r="AC68" s="177"/>
      <c r="AD68" s="157"/>
      <c r="AE68" s="158"/>
      <c r="AF68" s="158"/>
      <c r="AG68" s="158"/>
      <c r="AH68" s="158"/>
      <c r="AI68" s="158"/>
      <c r="AJ68" s="186"/>
    </row>
    <row r="69" spans="4:36" ht="30" x14ac:dyDescent="0.25">
      <c r="D69" s="118" t="s">
        <v>113</v>
      </c>
      <c r="E69" s="124">
        <v>4100</v>
      </c>
      <c r="F69" s="151"/>
      <c r="G69" s="124">
        <f t="shared" si="30"/>
        <v>0</v>
      </c>
      <c r="H69" s="11"/>
      <c r="I69" s="157"/>
      <c r="J69" s="158"/>
      <c r="K69" s="158"/>
      <c r="L69" s="158"/>
      <c r="M69" s="158"/>
      <c r="N69" s="158"/>
      <c r="O69" s="177"/>
      <c r="P69" s="157"/>
      <c r="Q69" s="158"/>
      <c r="R69" s="158"/>
      <c r="S69" s="158"/>
      <c r="T69" s="158"/>
      <c r="U69" s="158"/>
      <c r="V69" s="177"/>
      <c r="W69" s="157"/>
      <c r="X69" s="158"/>
      <c r="Y69" s="158"/>
      <c r="Z69" s="158"/>
      <c r="AA69" s="158"/>
      <c r="AB69" s="158"/>
      <c r="AC69" s="177"/>
      <c r="AD69" s="157"/>
      <c r="AE69" s="158"/>
      <c r="AF69" s="158"/>
      <c r="AG69" s="158"/>
      <c r="AH69" s="158"/>
      <c r="AI69" s="158"/>
      <c r="AJ69" s="186"/>
    </row>
    <row r="70" spans="4:36" x14ac:dyDescent="0.25">
      <c r="D70" s="113" t="s">
        <v>32</v>
      </c>
      <c r="E70" s="124">
        <v>67000</v>
      </c>
      <c r="F70" s="151"/>
      <c r="G70" s="124">
        <f t="shared" si="30"/>
        <v>0</v>
      </c>
      <c r="H70" s="11"/>
      <c r="I70" s="157"/>
      <c r="J70" s="158"/>
      <c r="K70" s="158"/>
      <c r="L70" s="158"/>
      <c r="M70" s="158"/>
      <c r="N70" s="158"/>
      <c r="O70" s="177"/>
      <c r="P70" s="157"/>
      <c r="Q70" s="158"/>
      <c r="R70" s="158"/>
      <c r="S70" s="158"/>
      <c r="T70" s="158"/>
      <c r="U70" s="158"/>
      <c r="V70" s="177"/>
      <c r="W70" s="157"/>
      <c r="X70" s="158"/>
      <c r="Y70" s="158"/>
      <c r="Z70" s="158"/>
      <c r="AA70" s="158"/>
      <c r="AB70" s="158"/>
      <c r="AC70" s="177"/>
      <c r="AD70" s="157"/>
      <c r="AE70" s="158"/>
      <c r="AF70" s="158"/>
      <c r="AG70" s="158"/>
      <c r="AH70" s="158"/>
      <c r="AI70" s="158"/>
      <c r="AJ70" s="186"/>
    </row>
    <row r="71" spans="4:36" ht="30" x14ac:dyDescent="0.25">
      <c r="D71" s="118" t="s">
        <v>113</v>
      </c>
      <c r="E71" s="124">
        <v>5100</v>
      </c>
      <c r="F71" s="151"/>
      <c r="G71" s="124">
        <f t="shared" si="30"/>
        <v>0</v>
      </c>
      <c r="H71" s="11"/>
      <c r="I71" s="157"/>
      <c r="J71" s="158"/>
      <c r="K71" s="158"/>
      <c r="L71" s="158"/>
      <c r="M71" s="158"/>
      <c r="N71" s="158"/>
      <c r="O71" s="177"/>
      <c r="P71" s="157"/>
      <c r="Q71" s="158"/>
      <c r="R71" s="158"/>
      <c r="S71" s="158"/>
      <c r="T71" s="158"/>
      <c r="U71" s="158"/>
      <c r="V71" s="177"/>
      <c r="W71" s="157"/>
      <c r="X71" s="158"/>
      <c r="Y71" s="158"/>
      <c r="Z71" s="158"/>
      <c r="AA71" s="158"/>
      <c r="AB71" s="158"/>
      <c r="AC71" s="177"/>
      <c r="AD71" s="157"/>
      <c r="AE71" s="158"/>
      <c r="AF71" s="158"/>
      <c r="AG71" s="158"/>
      <c r="AH71" s="158"/>
      <c r="AI71" s="158"/>
      <c r="AJ71" s="186"/>
    </row>
    <row r="72" spans="4:36" ht="15.75" x14ac:dyDescent="0.25">
      <c r="D72" s="71" t="s">
        <v>14</v>
      </c>
      <c r="E72" s="72"/>
      <c r="F72" s="73"/>
      <c r="G72" s="74">
        <f>SUM(G73:G77)</f>
        <v>0</v>
      </c>
      <c r="H72" s="75"/>
      <c r="I72" s="76" t="str">
        <f>IF(CONCATENATE(I73,I74,I75,I76,I77)&gt;" ","х"," ")</f>
        <v xml:space="preserve"> </v>
      </c>
      <c r="J72" s="77" t="str">
        <f>IF(CONCATENATE(J73,J74,J75,J76,J77)&gt;" ","х"," ")</f>
        <v xml:space="preserve"> </v>
      </c>
      <c r="K72" s="77" t="str">
        <f t="shared" ref="K72:O72" si="31">IF(CONCATENATE(K73,K74,K75,K76,K77)&gt;" ","х"," ")</f>
        <v xml:space="preserve"> </v>
      </c>
      <c r="L72" s="77" t="str">
        <f t="shared" si="31"/>
        <v xml:space="preserve"> </v>
      </c>
      <c r="M72" s="77" t="str">
        <f t="shared" si="31"/>
        <v xml:space="preserve"> </v>
      </c>
      <c r="N72" s="77" t="str">
        <f t="shared" si="31"/>
        <v xml:space="preserve"> </v>
      </c>
      <c r="O72" s="179" t="str">
        <f t="shared" si="31"/>
        <v xml:space="preserve"> </v>
      </c>
      <c r="P72" s="76" t="str">
        <f>IF(CONCATENATE(P73,P74,P75,P76,P77)&gt;" ","х"," ")</f>
        <v xml:space="preserve"> </v>
      </c>
      <c r="Q72" s="77" t="str">
        <f>IF(CONCATENATE(Q73,Q74,Q75,Q76,Q77)&gt;" ","х"," ")</f>
        <v xml:space="preserve"> </v>
      </c>
      <c r="R72" s="77" t="str">
        <f t="shared" ref="R72:V72" si="32">IF(CONCATENATE(R73,R74,R75,R76,R77)&gt;" ","х"," ")</f>
        <v xml:space="preserve"> </v>
      </c>
      <c r="S72" s="77" t="str">
        <f t="shared" si="32"/>
        <v xml:space="preserve"> </v>
      </c>
      <c r="T72" s="77" t="str">
        <f t="shared" si="32"/>
        <v xml:space="preserve"> </v>
      </c>
      <c r="U72" s="77" t="str">
        <f t="shared" si="32"/>
        <v xml:space="preserve"> </v>
      </c>
      <c r="V72" s="179" t="str">
        <f t="shared" si="32"/>
        <v xml:space="preserve"> </v>
      </c>
      <c r="W72" s="76" t="str">
        <f>IF(CONCATENATE(W73,W74,W75,W76,W77)&gt;" ","х"," ")</f>
        <v xml:space="preserve"> </v>
      </c>
      <c r="X72" s="77" t="str">
        <f>IF(CONCATENATE(X73,X74,X75,X76,X77)&gt;" ","х"," ")</f>
        <v xml:space="preserve"> </v>
      </c>
      <c r="Y72" s="77" t="str">
        <f t="shared" ref="Y72:AC72" si="33">IF(CONCATENATE(Y73,Y74,Y75,Y76,Y77)&gt;" ","х"," ")</f>
        <v xml:space="preserve"> </v>
      </c>
      <c r="Z72" s="77" t="str">
        <f t="shared" si="33"/>
        <v xml:space="preserve"> </v>
      </c>
      <c r="AA72" s="77" t="str">
        <f t="shared" si="33"/>
        <v xml:space="preserve"> </v>
      </c>
      <c r="AB72" s="77" t="str">
        <f t="shared" si="33"/>
        <v xml:space="preserve"> </v>
      </c>
      <c r="AC72" s="179" t="str">
        <f t="shared" si="33"/>
        <v xml:space="preserve"> </v>
      </c>
      <c r="AD72" s="76" t="str">
        <f>IF(CONCATENATE(AD73,AD74,AD75,AD76,AD77)&gt;" ","х"," ")</f>
        <v xml:space="preserve"> </v>
      </c>
      <c r="AE72" s="77" t="str">
        <f>IF(CONCATENATE(AE73,AE74,AE75,AE76,AE77)&gt;" ","х"," ")</f>
        <v xml:space="preserve"> </v>
      </c>
      <c r="AF72" s="77" t="str">
        <f t="shared" ref="AF72:AJ72" si="34">IF(CONCATENATE(AF73,AF74,AF75,AF76,AF77)&gt;" ","х"," ")</f>
        <v xml:space="preserve"> </v>
      </c>
      <c r="AG72" s="77" t="str">
        <f t="shared" si="34"/>
        <v xml:space="preserve"> </v>
      </c>
      <c r="AH72" s="77" t="str">
        <f t="shared" si="34"/>
        <v xml:space="preserve"> </v>
      </c>
      <c r="AI72" s="77" t="str">
        <f t="shared" si="34"/>
        <v xml:space="preserve"> </v>
      </c>
      <c r="AJ72" s="180" t="str">
        <f t="shared" si="34"/>
        <v xml:space="preserve"> </v>
      </c>
    </row>
    <row r="73" spans="4:36" x14ac:dyDescent="0.25">
      <c r="D73" s="113" t="s">
        <v>40</v>
      </c>
      <c r="E73" s="114">
        <v>42500</v>
      </c>
      <c r="F73" s="148"/>
      <c r="G73" s="114">
        <f t="shared" ref="G73:G74" si="35">E73*F73</f>
        <v>0</v>
      </c>
      <c r="H73" s="11"/>
      <c r="I73" s="157"/>
      <c r="J73" s="158"/>
      <c r="K73" s="158"/>
      <c r="L73" s="158"/>
      <c r="M73" s="158"/>
      <c r="N73" s="158"/>
      <c r="O73" s="177"/>
      <c r="P73" s="157"/>
      <c r="Q73" s="158"/>
      <c r="R73" s="158"/>
      <c r="S73" s="158"/>
      <c r="T73" s="158"/>
      <c r="U73" s="158"/>
      <c r="V73" s="177"/>
      <c r="W73" s="157"/>
      <c r="X73" s="158"/>
      <c r="Y73" s="158"/>
      <c r="Z73" s="158"/>
      <c r="AA73" s="158"/>
      <c r="AB73" s="158"/>
      <c r="AC73" s="177"/>
      <c r="AD73" s="157"/>
      <c r="AE73" s="158"/>
      <c r="AF73" s="158"/>
      <c r="AG73" s="158"/>
      <c r="AH73" s="158"/>
      <c r="AI73" s="158"/>
      <c r="AJ73" s="186"/>
    </row>
    <row r="74" spans="4:36" x14ac:dyDescent="0.25">
      <c r="D74" s="113" t="s">
        <v>41</v>
      </c>
      <c r="E74" s="114">
        <v>67500</v>
      </c>
      <c r="F74" s="148"/>
      <c r="G74" s="114">
        <f t="shared" si="35"/>
        <v>0</v>
      </c>
      <c r="H74" s="11"/>
      <c r="I74" s="157"/>
      <c r="J74" s="158"/>
      <c r="K74" s="158"/>
      <c r="L74" s="158"/>
      <c r="M74" s="158"/>
      <c r="N74" s="158"/>
      <c r="O74" s="177"/>
      <c r="P74" s="157"/>
      <c r="Q74" s="158"/>
      <c r="R74" s="158"/>
      <c r="S74" s="158"/>
      <c r="T74" s="158"/>
      <c r="U74" s="158"/>
      <c r="V74" s="177"/>
      <c r="W74" s="157"/>
      <c r="X74" s="158"/>
      <c r="Y74" s="158"/>
      <c r="Z74" s="158"/>
      <c r="AA74" s="158"/>
      <c r="AB74" s="158"/>
      <c r="AC74" s="177"/>
      <c r="AD74" s="157"/>
      <c r="AE74" s="158"/>
      <c r="AF74" s="158"/>
      <c r="AG74" s="158"/>
      <c r="AH74" s="158"/>
      <c r="AI74" s="158"/>
      <c r="AJ74" s="186"/>
    </row>
    <row r="75" spans="4:36" x14ac:dyDescent="0.25">
      <c r="D75" s="113" t="s">
        <v>42</v>
      </c>
      <c r="E75" s="114">
        <v>115000</v>
      </c>
      <c r="F75" s="148"/>
      <c r="G75" s="114">
        <f>E75*F75</f>
        <v>0</v>
      </c>
      <c r="H75" s="10"/>
      <c r="I75" s="157"/>
      <c r="J75" s="158"/>
      <c r="K75" s="158"/>
      <c r="L75" s="158"/>
      <c r="M75" s="158"/>
      <c r="N75" s="158"/>
      <c r="O75" s="177"/>
      <c r="P75" s="157"/>
      <c r="Q75" s="158"/>
      <c r="R75" s="158"/>
      <c r="S75" s="158"/>
      <c r="T75" s="158"/>
      <c r="U75" s="158"/>
      <c r="V75" s="177"/>
      <c r="W75" s="157"/>
      <c r="X75" s="158"/>
      <c r="Y75" s="158"/>
      <c r="Z75" s="158"/>
      <c r="AA75" s="158"/>
      <c r="AB75" s="158"/>
      <c r="AC75" s="177"/>
      <c r="AD75" s="157"/>
      <c r="AE75" s="158"/>
      <c r="AF75" s="158"/>
      <c r="AG75" s="158"/>
      <c r="AH75" s="158"/>
      <c r="AI75" s="158"/>
      <c r="AJ75" s="186"/>
    </row>
    <row r="76" spans="4:36" x14ac:dyDescent="0.25">
      <c r="D76" s="113" t="s">
        <v>107</v>
      </c>
      <c r="E76" s="114">
        <v>55000</v>
      </c>
      <c r="F76" s="148"/>
      <c r="G76" s="114">
        <f>E76*F76</f>
        <v>0</v>
      </c>
      <c r="H76" s="10"/>
      <c r="I76" s="157"/>
      <c r="J76" s="158"/>
      <c r="K76" s="158"/>
      <c r="L76" s="158"/>
      <c r="M76" s="158"/>
      <c r="N76" s="158"/>
      <c r="O76" s="177"/>
      <c r="P76" s="157"/>
      <c r="Q76" s="158"/>
      <c r="R76" s="158"/>
      <c r="S76" s="158"/>
      <c r="T76" s="158"/>
      <c r="U76" s="158"/>
      <c r="V76" s="177"/>
      <c r="W76" s="157"/>
      <c r="X76" s="158"/>
      <c r="Y76" s="158"/>
      <c r="Z76" s="158"/>
      <c r="AA76" s="158"/>
      <c r="AB76" s="158"/>
      <c r="AC76" s="177"/>
      <c r="AD76" s="157"/>
      <c r="AE76" s="158"/>
      <c r="AF76" s="158"/>
      <c r="AG76" s="158"/>
      <c r="AH76" s="158"/>
      <c r="AI76" s="158"/>
      <c r="AJ76" s="186"/>
    </row>
    <row r="77" spans="4:36" x14ac:dyDescent="0.25">
      <c r="D77" s="113" t="s">
        <v>108</v>
      </c>
      <c r="E77" s="114">
        <v>50000</v>
      </c>
      <c r="F77" s="148"/>
      <c r="G77" s="114">
        <f>E77*F77</f>
        <v>0</v>
      </c>
      <c r="H77" s="10"/>
      <c r="I77" s="157"/>
      <c r="J77" s="158"/>
      <c r="K77" s="158"/>
      <c r="L77" s="158"/>
      <c r="M77" s="158"/>
      <c r="N77" s="158"/>
      <c r="O77" s="177"/>
      <c r="P77" s="157"/>
      <c r="Q77" s="158"/>
      <c r="R77" s="158"/>
      <c r="S77" s="158"/>
      <c r="T77" s="158"/>
      <c r="U77" s="158"/>
      <c r="V77" s="177"/>
      <c r="W77" s="157"/>
      <c r="X77" s="158"/>
      <c r="Y77" s="158"/>
      <c r="Z77" s="158"/>
      <c r="AA77" s="158"/>
      <c r="AB77" s="158"/>
      <c r="AC77" s="177"/>
      <c r="AD77" s="157"/>
      <c r="AE77" s="158"/>
      <c r="AF77" s="158"/>
      <c r="AG77" s="158"/>
      <c r="AH77" s="158"/>
      <c r="AI77" s="158"/>
      <c r="AJ77" s="186"/>
    </row>
    <row r="78" spans="4:36" x14ac:dyDescent="0.25">
      <c r="D78" s="126"/>
      <c r="E78" s="127"/>
      <c r="F78" s="46"/>
      <c r="G78" s="127"/>
      <c r="H78" s="10"/>
      <c r="I78" s="38"/>
      <c r="J78" s="39"/>
      <c r="K78" s="39"/>
      <c r="L78" s="39"/>
      <c r="M78" s="39"/>
      <c r="N78" s="39"/>
      <c r="O78" s="180"/>
      <c r="P78" s="38"/>
      <c r="Q78" s="40"/>
      <c r="R78" s="40"/>
      <c r="S78" s="40"/>
      <c r="T78" s="40"/>
      <c r="U78" s="39"/>
      <c r="V78" s="180"/>
      <c r="W78" s="38"/>
      <c r="X78" s="39"/>
      <c r="Y78" s="39"/>
      <c r="Z78" s="39"/>
      <c r="AA78" s="39"/>
      <c r="AB78" s="39"/>
      <c r="AC78" s="180"/>
      <c r="AD78" s="188"/>
      <c r="AE78" s="69"/>
      <c r="AF78" s="69"/>
      <c r="AG78" s="69"/>
      <c r="AH78" s="69"/>
      <c r="AI78" s="39"/>
      <c r="AJ78" s="180"/>
    </row>
    <row r="79" spans="4:36" ht="16.5" thickBot="1" x14ac:dyDescent="0.3">
      <c r="D79" s="128"/>
      <c r="E79" s="129"/>
      <c r="F79" s="46"/>
      <c r="G79" s="129"/>
      <c r="H79" s="22"/>
      <c r="I79" s="43"/>
      <c r="J79" s="44"/>
      <c r="K79" s="44"/>
      <c r="L79" s="44"/>
      <c r="M79" s="44"/>
      <c r="N79" s="44"/>
      <c r="O79" s="178"/>
      <c r="P79" s="43"/>
      <c r="Q79" s="45"/>
      <c r="R79" s="45"/>
      <c r="S79" s="45"/>
      <c r="T79" s="45"/>
      <c r="U79" s="44"/>
      <c r="V79" s="178"/>
      <c r="W79" s="43"/>
      <c r="X79" s="44"/>
      <c r="Y79" s="44"/>
      <c r="Z79" s="44"/>
      <c r="AA79" s="44"/>
      <c r="AB79" s="44"/>
      <c r="AC79" s="178"/>
      <c r="AD79" s="43"/>
      <c r="AE79" s="45"/>
      <c r="AF79" s="45"/>
      <c r="AG79" s="70"/>
      <c r="AH79" s="70"/>
      <c r="AI79" s="70"/>
      <c r="AJ79" s="178"/>
    </row>
    <row r="80" spans="4:36" ht="47.25" thickBot="1" x14ac:dyDescent="0.3">
      <c r="D80" s="94" t="s">
        <v>8</v>
      </c>
      <c r="E80" s="87"/>
      <c r="F80" s="96"/>
      <c r="G80" s="87">
        <f>SUM(G81:G96)</f>
        <v>0</v>
      </c>
      <c r="H80" s="97"/>
      <c r="I80" s="88" t="str">
        <f>IF(CONCATENATE(I81,I82,I83,I88,I89,I84,I85,I90,I91,I93,I86,I87,I95,I96)&gt;" ","х"," ")</f>
        <v xml:space="preserve"> </v>
      </c>
      <c r="J80" s="89" t="str">
        <f>IF(CONCATENATE(J81,J82,J83,J84,J85,J88,J89,J90,J91,J93,J86,J87,J95,J96)&gt;" ","х"," ")</f>
        <v xml:space="preserve"> </v>
      </c>
      <c r="K80" s="89" t="str">
        <f t="shared" ref="K80:O80" si="36">IF(CONCATENATE(K81,K82,K83,K84,K85,K88,K89,K90,K91,K93,K86,K87,K95,K96)&gt;" ","х"," ")</f>
        <v xml:space="preserve"> </v>
      </c>
      <c r="L80" s="89" t="str">
        <f t="shared" si="36"/>
        <v xml:space="preserve"> </v>
      </c>
      <c r="M80" s="89" t="str">
        <f t="shared" si="36"/>
        <v xml:space="preserve"> </v>
      </c>
      <c r="N80" s="89" t="str">
        <f t="shared" si="36"/>
        <v xml:space="preserve"> </v>
      </c>
      <c r="O80" s="176" t="str">
        <f t="shared" si="36"/>
        <v xml:space="preserve"> </v>
      </c>
      <c r="P80" s="88" t="str">
        <f>IF(CONCATENATE(P81,P82,P83,P88,P89,P84,P85,P90,P91,P93,P86,P87,P95,P96)&gt;" ","х"," ")</f>
        <v xml:space="preserve"> </v>
      </c>
      <c r="Q80" s="89" t="str">
        <f>IF(CONCATENATE(Q81,Q82,Q83,Q84,Q85,Q88,Q89,Q90,Q91,Q93,Q86,Q87,Q95,Q96)&gt;" ","х"," ")</f>
        <v xml:space="preserve"> </v>
      </c>
      <c r="R80" s="89" t="str">
        <f t="shared" ref="R80:V80" si="37">IF(CONCATENATE(R81,R82,R83,R84,R85,R88,R89,R90,R91,R93,R86,R87,R95,R96)&gt;" ","х"," ")</f>
        <v xml:space="preserve"> </v>
      </c>
      <c r="S80" s="89" t="str">
        <f t="shared" si="37"/>
        <v xml:space="preserve"> </v>
      </c>
      <c r="T80" s="89" t="str">
        <f t="shared" si="37"/>
        <v xml:space="preserve"> </v>
      </c>
      <c r="U80" s="89" t="str">
        <f t="shared" si="37"/>
        <v xml:space="preserve"> </v>
      </c>
      <c r="V80" s="176" t="str">
        <f t="shared" si="37"/>
        <v xml:space="preserve"> </v>
      </c>
      <c r="W80" s="88" t="str">
        <f>IF(CONCATENATE(W81,W82,W83,W88,W89,W84,W85,W90,W91,W93,W86,W87,W95,W96)&gt;" ","х"," ")</f>
        <v xml:space="preserve"> </v>
      </c>
      <c r="X80" s="89" t="str">
        <f>IF(CONCATENATE(X81,X82,X83,X84,X85,X88,X89,X90,X91,X93,X86,X87,X95,X96)&gt;" ","х"," ")</f>
        <v xml:space="preserve"> </v>
      </c>
      <c r="Y80" s="89" t="str">
        <f t="shared" ref="Y80:AB80" si="38">IF(CONCATENATE(Y81,Y82,Y83,Y84,Y85,Y88,Y89,Y90,Y91,Y93,Y86,Y87,Y95,Y96)&gt;" ","х"," ")</f>
        <v xml:space="preserve"> </v>
      </c>
      <c r="Z80" s="89" t="str">
        <f t="shared" si="38"/>
        <v xml:space="preserve"> </v>
      </c>
      <c r="AA80" s="89" t="str">
        <f t="shared" si="38"/>
        <v xml:space="preserve"> </v>
      </c>
      <c r="AB80" s="89" t="str">
        <f t="shared" si="38"/>
        <v xml:space="preserve"> </v>
      </c>
      <c r="AC80" s="176" t="str">
        <f>IF(CONCATENATE(AC81,AC82,AC83,AC84,AC85,AC88,AC89,AC90,AC91,AC93,AC86,AC87,AC95,AC96)&gt;" ","х"," ")</f>
        <v xml:space="preserve"> </v>
      </c>
      <c r="AD80" s="88" t="str">
        <f>IF(CONCATENATE(AD81,AD82,AD83,AD88,AD89,AD84,AD85,AD90,AD91,AD93,AD86,AD87,AD95,AD96)&gt;" ","х"," ")</f>
        <v xml:space="preserve"> </v>
      </c>
      <c r="AE80" s="89" t="str">
        <f>IF(CONCATENATE(AE81,AE82,AE83,AE84,AE85,AE88,AE89,AE90,AE91,AE93,AE86,AE87,AE95,AE96)&gt;" ","х"," ")</f>
        <v xml:space="preserve"> </v>
      </c>
      <c r="AF80" s="89" t="str">
        <f t="shared" ref="AF80:AI80" si="39">IF(CONCATENATE(AF81,AF82,AF83,AF84,AF85,AF88,AF89,AF90,AF91,AF93,AF86,AF87,AF95,AF96)&gt;" ","х"," ")</f>
        <v xml:space="preserve"> </v>
      </c>
      <c r="AG80" s="89" t="str">
        <f t="shared" si="39"/>
        <v xml:space="preserve"> </v>
      </c>
      <c r="AH80" s="89" t="str">
        <f t="shared" si="39"/>
        <v xml:space="preserve"> </v>
      </c>
      <c r="AI80" s="89" t="str">
        <f t="shared" si="39"/>
        <v xml:space="preserve"> </v>
      </c>
      <c r="AJ80" s="181" t="str">
        <f>IF(CONCATENATE(AJ81,AJ82,AJ83,AJ84,AJ85,AJ88,AJ89,AJ90,AJ91,AJ93,AJ86,AJ87,AJ95,AJ96)&gt;" ","х"," ")</f>
        <v xml:space="preserve"> </v>
      </c>
    </row>
    <row r="81" spans="4:36" x14ac:dyDescent="0.25">
      <c r="D81" s="111" t="s">
        <v>77</v>
      </c>
      <c r="E81" s="112">
        <v>90000</v>
      </c>
      <c r="F81" s="147"/>
      <c r="G81" s="112">
        <f>E81*F81</f>
        <v>0</v>
      </c>
      <c r="H81" s="21"/>
      <c r="I81" s="157"/>
      <c r="J81" s="158"/>
      <c r="K81" s="158"/>
      <c r="L81" s="158"/>
      <c r="M81" s="158"/>
      <c r="N81" s="158"/>
      <c r="O81" s="177"/>
      <c r="P81" s="157"/>
      <c r="Q81" s="158"/>
      <c r="R81" s="158"/>
      <c r="S81" s="158"/>
      <c r="T81" s="158"/>
      <c r="U81" s="158"/>
      <c r="V81" s="177"/>
      <c r="W81" s="157"/>
      <c r="X81" s="158"/>
      <c r="Y81" s="158"/>
      <c r="Z81" s="158"/>
      <c r="AA81" s="158"/>
      <c r="AB81" s="158"/>
      <c r="AC81" s="177"/>
      <c r="AD81" s="157"/>
      <c r="AE81" s="158"/>
      <c r="AF81" s="158"/>
      <c r="AG81" s="158"/>
      <c r="AH81" s="158"/>
      <c r="AI81" s="158"/>
      <c r="AJ81" s="186"/>
    </row>
    <row r="82" spans="4:36" x14ac:dyDescent="0.25">
      <c r="D82" s="111" t="s">
        <v>76</v>
      </c>
      <c r="E82" s="112">
        <v>155000</v>
      </c>
      <c r="F82" s="147"/>
      <c r="G82" s="112">
        <f t="shared" ref="G82:G85" si="40">E82*F82</f>
        <v>0</v>
      </c>
      <c r="H82" s="21"/>
      <c r="I82" s="157"/>
      <c r="J82" s="158"/>
      <c r="K82" s="158"/>
      <c r="L82" s="158"/>
      <c r="M82" s="158"/>
      <c r="N82" s="158"/>
      <c r="O82" s="177"/>
      <c r="P82" s="157"/>
      <c r="Q82" s="158"/>
      <c r="R82" s="158"/>
      <c r="S82" s="158"/>
      <c r="T82" s="158"/>
      <c r="U82" s="158"/>
      <c r="V82" s="177"/>
      <c r="W82" s="157"/>
      <c r="X82" s="158"/>
      <c r="Y82" s="158"/>
      <c r="Z82" s="158"/>
      <c r="AA82" s="158"/>
      <c r="AB82" s="158"/>
      <c r="AC82" s="177"/>
      <c r="AD82" s="157"/>
      <c r="AE82" s="158"/>
      <c r="AF82" s="158"/>
      <c r="AG82" s="158"/>
      <c r="AH82" s="158"/>
      <c r="AI82" s="158"/>
      <c r="AJ82" s="186"/>
    </row>
    <row r="83" spans="4:36" x14ac:dyDescent="0.25">
      <c r="D83" s="111" t="s">
        <v>75</v>
      </c>
      <c r="E83" s="112">
        <v>255000</v>
      </c>
      <c r="F83" s="147"/>
      <c r="G83" s="112">
        <f t="shared" si="40"/>
        <v>0</v>
      </c>
      <c r="H83" s="21"/>
      <c r="I83" s="157"/>
      <c r="J83" s="158"/>
      <c r="K83" s="158"/>
      <c r="L83" s="158"/>
      <c r="M83" s="158"/>
      <c r="N83" s="158"/>
      <c r="O83" s="177"/>
      <c r="P83" s="157"/>
      <c r="Q83" s="158"/>
      <c r="R83" s="158"/>
      <c r="S83" s="158"/>
      <c r="T83" s="158"/>
      <c r="U83" s="158"/>
      <c r="V83" s="177"/>
      <c r="W83" s="157"/>
      <c r="X83" s="158"/>
      <c r="Y83" s="158"/>
      <c r="Z83" s="158"/>
      <c r="AA83" s="158"/>
      <c r="AB83" s="158"/>
      <c r="AC83" s="177"/>
      <c r="AD83" s="157"/>
      <c r="AE83" s="158"/>
      <c r="AF83" s="158"/>
      <c r="AG83" s="158"/>
      <c r="AH83" s="158"/>
      <c r="AI83" s="158"/>
      <c r="AJ83" s="186"/>
    </row>
    <row r="84" spans="4:36" x14ac:dyDescent="0.25">
      <c r="D84" s="117" t="s">
        <v>97</v>
      </c>
      <c r="E84" s="114">
        <v>33000</v>
      </c>
      <c r="F84" s="147"/>
      <c r="G84" s="114">
        <f t="shared" si="40"/>
        <v>0</v>
      </c>
      <c r="H84" s="11"/>
      <c r="I84" s="157"/>
      <c r="J84" s="158"/>
      <c r="K84" s="158"/>
      <c r="L84" s="158"/>
      <c r="M84" s="158"/>
      <c r="N84" s="158"/>
      <c r="O84" s="177"/>
      <c r="P84" s="157"/>
      <c r="Q84" s="158"/>
      <c r="R84" s="158"/>
      <c r="S84" s="158"/>
      <c r="T84" s="158"/>
      <c r="U84" s="158"/>
      <c r="V84" s="177"/>
      <c r="W84" s="157"/>
      <c r="X84" s="158"/>
      <c r="Y84" s="158"/>
      <c r="Z84" s="158"/>
      <c r="AA84" s="158"/>
      <c r="AB84" s="158"/>
      <c r="AC84" s="177"/>
      <c r="AD84" s="157"/>
      <c r="AE84" s="158"/>
      <c r="AF84" s="158"/>
      <c r="AG84" s="158"/>
      <c r="AH84" s="158"/>
      <c r="AI84" s="158"/>
      <c r="AJ84" s="186"/>
    </row>
    <row r="85" spans="4:36" x14ac:dyDescent="0.25">
      <c r="D85" s="117" t="s">
        <v>96</v>
      </c>
      <c r="E85" s="114">
        <v>75000</v>
      </c>
      <c r="F85" s="147"/>
      <c r="G85" s="114">
        <f t="shared" si="40"/>
        <v>0</v>
      </c>
      <c r="H85" s="11"/>
      <c r="I85" s="157"/>
      <c r="J85" s="158"/>
      <c r="K85" s="158"/>
      <c r="L85" s="158"/>
      <c r="M85" s="158"/>
      <c r="N85" s="158"/>
      <c r="O85" s="177"/>
      <c r="P85" s="157"/>
      <c r="Q85" s="158"/>
      <c r="R85" s="158"/>
      <c r="S85" s="158"/>
      <c r="T85" s="158"/>
      <c r="U85" s="158"/>
      <c r="V85" s="177"/>
      <c r="W85" s="157"/>
      <c r="X85" s="158"/>
      <c r="Y85" s="158"/>
      <c r="Z85" s="158"/>
      <c r="AA85" s="158"/>
      <c r="AB85" s="158"/>
      <c r="AC85" s="177"/>
      <c r="AD85" s="157"/>
      <c r="AE85" s="158"/>
      <c r="AF85" s="158"/>
      <c r="AG85" s="158"/>
      <c r="AH85" s="158"/>
      <c r="AI85" s="158"/>
      <c r="AJ85" s="186"/>
    </row>
    <row r="86" spans="4:36" x14ac:dyDescent="0.25">
      <c r="D86" s="117" t="s">
        <v>95</v>
      </c>
      <c r="E86" s="114">
        <v>100000</v>
      </c>
      <c r="F86" s="147"/>
      <c r="G86" s="114">
        <f>E86*F86</f>
        <v>0</v>
      </c>
      <c r="H86" s="10"/>
      <c r="I86" s="157"/>
      <c r="J86" s="158"/>
      <c r="K86" s="158"/>
      <c r="L86" s="158"/>
      <c r="M86" s="158"/>
      <c r="N86" s="158"/>
      <c r="O86" s="177"/>
      <c r="P86" s="157"/>
      <c r="Q86" s="158"/>
      <c r="R86" s="158"/>
      <c r="S86" s="158"/>
      <c r="T86" s="158"/>
      <c r="U86" s="158"/>
      <c r="V86" s="177"/>
      <c r="W86" s="157"/>
      <c r="X86" s="158"/>
      <c r="Y86" s="158"/>
      <c r="Z86" s="158"/>
      <c r="AA86" s="158"/>
      <c r="AB86" s="158"/>
      <c r="AC86" s="177"/>
      <c r="AD86" s="157"/>
      <c r="AE86" s="158"/>
      <c r="AF86" s="158"/>
      <c r="AG86" s="158"/>
      <c r="AH86" s="158"/>
      <c r="AI86" s="158"/>
      <c r="AJ86" s="186"/>
    </row>
    <row r="87" spans="4:36" x14ac:dyDescent="0.25">
      <c r="D87" s="117" t="s">
        <v>98</v>
      </c>
      <c r="E87" s="114">
        <v>40000</v>
      </c>
      <c r="F87" s="147"/>
      <c r="G87" s="114">
        <f t="shared" ref="G87:G96" si="41">E87*F87</f>
        <v>0</v>
      </c>
      <c r="H87" s="10"/>
      <c r="I87" s="157"/>
      <c r="J87" s="158"/>
      <c r="K87" s="158"/>
      <c r="L87" s="158"/>
      <c r="M87" s="158"/>
      <c r="N87" s="158"/>
      <c r="O87" s="177"/>
      <c r="P87" s="157"/>
      <c r="Q87" s="158"/>
      <c r="R87" s="158"/>
      <c r="S87" s="158"/>
      <c r="T87" s="158"/>
      <c r="U87" s="158"/>
      <c r="V87" s="177"/>
      <c r="W87" s="157"/>
      <c r="X87" s="158"/>
      <c r="Y87" s="158"/>
      <c r="Z87" s="158"/>
      <c r="AA87" s="158"/>
      <c r="AB87" s="158"/>
      <c r="AC87" s="177"/>
      <c r="AD87" s="157"/>
      <c r="AE87" s="158"/>
      <c r="AF87" s="158"/>
      <c r="AG87" s="158"/>
      <c r="AH87" s="158"/>
      <c r="AI87" s="158"/>
      <c r="AJ87" s="186"/>
    </row>
    <row r="88" spans="4:36" x14ac:dyDescent="0.25">
      <c r="D88" s="117" t="s">
        <v>99</v>
      </c>
      <c r="E88" s="114">
        <v>80000</v>
      </c>
      <c r="F88" s="147"/>
      <c r="G88" s="114">
        <f t="shared" si="41"/>
        <v>0</v>
      </c>
      <c r="H88" s="10"/>
      <c r="I88" s="157"/>
      <c r="J88" s="158"/>
      <c r="K88" s="158"/>
      <c r="L88" s="158"/>
      <c r="M88" s="158"/>
      <c r="N88" s="158"/>
      <c r="O88" s="177"/>
      <c r="P88" s="157"/>
      <c r="Q88" s="158"/>
      <c r="R88" s="158"/>
      <c r="S88" s="158"/>
      <c r="T88" s="158"/>
      <c r="U88" s="158"/>
      <c r="V88" s="177"/>
      <c r="W88" s="157"/>
      <c r="X88" s="158"/>
      <c r="Y88" s="158"/>
      <c r="Z88" s="158"/>
      <c r="AA88" s="158"/>
      <c r="AB88" s="158"/>
      <c r="AC88" s="177"/>
      <c r="AD88" s="157"/>
      <c r="AE88" s="158"/>
      <c r="AF88" s="158"/>
      <c r="AG88" s="158"/>
      <c r="AH88" s="158"/>
      <c r="AI88" s="158"/>
      <c r="AJ88" s="186"/>
    </row>
    <row r="89" spans="4:36" x14ac:dyDescent="0.25">
      <c r="D89" s="117" t="s">
        <v>100</v>
      </c>
      <c r="E89" s="114">
        <v>155000</v>
      </c>
      <c r="F89" s="147"/>
      <c r="G89" s="114">
        <f t="shared" si="41"/>
        <v>0</v>
      </c>
      <c r="H89" s="10"/>
      <c r="I89" s="157"/>
      <c r="J89" s="158"/>
      <c r="K89" s="158"/>
      <c r="L89" s="158"/>
      <c r="M89" s="158"/>
      <c r="N89" s="158"/>
      <c r="O89" s="177"/>
      <c r="P89" s="157"/>
      <c r="Q89" s="158"/>
      <c r="R89" s="158"/>
      <c r="S89" s="158"/>
      <c r="T89" s="158"/>
      <c r="U89" s="158"/>
      <c r="V89" s="177"/>
      <c r="W89" s="157"/>
      <c r="X89" s="158"/>
      <c r="Y89" s="158"/>
      <c r="Z89" s="158"/>
      <c r="AA89" s="158"/>
      <c r="AB89" s="158"/>
      <c r="AC89" s="177"/>
      <c r="AD89" s="157"/>
      <c r="AE89" s="158"/>
      <c r="AF89" s="158"/>
      <c r="AG89" s="158"/>
      <c r="AH89" s="158"/>
      <c r="AI89" s="158"/>
      <c r="AJ89" s="186"/>
    </row>
    <row r="90" spans="4:36" x14ac:dyDescent="0.25">
      <c r="D90" s="117" t="s">
        <v>101</v>
      </c>
      <c r="E90" s="114">
        <v>195000</v>
      </c>
      <c r="F90" s="147"/>
      <c r="G90" s="114">
        <f t="shared" si="41"/>
        <v>0</v>
      </c>
      <c r="H90" s="10"/>
      <c r="I90" s="157"/>
      <c r="J90" s="158"/>
      <c r="K90" s="158"/>
      <c r="L90" s="158"/>
      <c r="M90" s="158"/>
      <c r="N90" s="158"/>
      <c r="O90" s="177"/>
      <c r="P90" s="157"/>
      <c r="Q90" s="158"/>
      <c r="R90" s="158"/>
      <c r="S90" s="158"/>
      <c r="T90" s="158"/>
      <c r="U90" s="158"/>
      <c r="V90" s="177"/>
      <c r="W90" s="157"/>
      <c r="X90" s="158"/>
      <c r="Y90" s="158"/>
      <c r="Z90" s="158"/>
      <c r="AA90" s="158"/>
      <c r="AB90" s="158"/>
      <c r="AC90" s="177"/>
      <c r="AD90" s="157"/>
      <c r="AE90" s="158"/>
      <c r="AF90" s="158"/>
      <c r="AG90" s="158"/>
      <c r="AH90" s="158"/>
      <c r="AI90" s="158"/>
      <c r="AJ90" s="186"/>
    </row>
    <row r="91" spans="4:36" x14ac:dyDescent="0.25">
      <c r="D91" s="113" t="s">
        <v>30</v>
      </c>
      <c r="E91" s="114">
        <v>35000</v>
      </c>
      <c r="F91" s="147"/>
      <c r="G91" s="114">
        <f t="shared" si="41"/>
        <v>0</v>
      </c>
      <c r="H91" s="10"/>
      <c r="I91" s="157"/>
      <c r="J91" s="158"/>
      <c r="K91" s="158"/>
      <c r="L91" s="158"/>
      <c r="M91" s="158"/>
      <c r="N91" s="158"/>
      <c r="O91" s="177"/>
      <c r="P91" s="157"/>
      <c r="Q91" s="158"/>
      <c r="R91" s="158"/>
      <c r="S91" s="158"/>
      <c r="T91" s="158"/>
      <c r="U91" s="158"/>
      <c r="V91" s="177"/>
      <c r="W91" s="157"/>
      <c r="X91" s="158"/>
      <c r="Y91" s="158"/>
      <c r="Z91" s="158"/>
      <c r="AA91" s="158"/>
      <c r="AB91" s="158"/>
      <c r="AC91" s="177"/>
      <c r="AD91" s="157"/>
      <c r="AE91" s="158"/>
      <c r="AF91" s="158"/>
      <c r="AG91" s="158"/>
      <c r="AH91" s="158"/>
      <c r="AI91" s="158"/>
      <c r="AJ91" s="186"/>
    </row>
    <row r="92" spans="4:36" ht="30" x14ac:dyDescent="0.25">
      <c r="D92" s="118" t="s">
        <v>113</v>
      </c>
      <c r="E92" s="114">
        <v>3300</v>
      </c>
      <c r="F92" s="147"/>
      <c r="G92" s="114">
        <f t="shared" si="41"/>
        <v>0</v>
      </c>
      <c r="H92" s="10"/>
      <c r="I92" s="157"/>
      <c r="J92" s="158"/>
      <c r="K92" s="158"/>
      <c r="L92" s="158"/>
      <c r="M92" s="158"/>
      <c r="N92" s="158"/>
      <c r="O92" s="177"/>
      <c r="P92" s="157"/>
      <c r="Q92" s="158"/>
      <c r="R92" s="158"/>
      <c r="S92" s="158"/>
      <c r="T92" s="158"/>
      <c r="U92" s="158"/>
      <c r="V92" s="177"/>
      <c r="W92" s="157"/>
      <c r="X92" s="158"/>
      <c r="Y92" s="158"/>
      <c r="Z92" s="158"/>
      <c r="AA92" s="158"/>
      <c r="AB92" s="158"/>
      <c r="AC92" s="177"/>
      <c r="AD92" s="157"/>
      <c r="AE92" s="158"/>
      <c r="AF92" s="158"/>
      <c r="AG92" s="158"/>
      <c r="AH92" s="158"/>
      <c r="AI92" s="158"/>
      <c r="AJ92" s="186"/>
    </row>
    <row r="93" spans="4:36" x14ac:dyDescent="0.25">
      <c r="D93" s="118" t="s">
        <v>31</v>
      </c>
      <c r="E93" s="114">
        <v>51000</v>
      </c>
      <c r="F93" s="147"/>
      <c r="G93" s="114">
        <f t="shared" si="41"/>
        <v>0</v>
      </c>
      <c r="H93" s="10"/>
      <c r="I93" s="157"/>
      <c r="J93" s="158"/>
      <c r="K93" s="158"/>
      <c r="L93" s="158"/>
      <c r="M93" s="158"/>
      <c r="N93" s="158"/>
      <c r="O93" s="177"/>
      <c r="P93" s="157"/>
      <c r="Q93" s="158"/>
      <c r="R93" s="158"/>
      <c r="S93" s="158"/>
      <c r="T93" s="158"/>
      <c r="U93" s="158"/>
      <c r="V93" s="177"/>
      <c r="W93" s="157"/>
      <c r="X93" s="158"/>
      <c r="Y93" s="158"/>
      <c r="Z93" s="158"/>
      <c r="AA93" s="158"/>
      <c r="AB93" s="158"/>
      <c r="AC93" s="177"/>
      <c r="AD93" s="157"/>
      <c r="AE93" s="158"/>
      <c r="AF93" s="158"/>
      <c r="AG93" s="158"/>
      <c r="AH93" s="158"/>
      <c r="AI93" s="158"/>
      <c r="AJ93" s="186"/>
    </row>
    <row r="94" spans="4:36" ht="30" x14ac:dyDescent="0.25">
      <c r="D94" s="118" t="s">
        <v>113</v>
      </c>
      <c r="E94" s="114">
        <v>4100</v>
      </c>
      <c r="F94" s="147"/>
      <c r="G94" s="114">
        <f t="shared" si="41"/>
        <v>0</v>
      </c>
      <c r="H94" s="10"/>
      <c r="I94" s="157"/>
      <c r="J94" s="158"/>
      <c r="K94" s="158"/>
      <c r="L94" s="158"/>
      <c r="M94" s="158"/>
      <c r="N94" s="158"/>
      <c r="O94" s="177"/>
      <c r="P94" s="157"/>
      <c r="Q94" s="158"/>
      <c r="R94" s="158"/>
      <c r="S94" s="158"/>
      <c r="T94" s="158"/>
      <c r="U94" s="158"/>
      <c r="V94" s="177"/>
      <c r="W94" s="157"/>
      <c r="X94" s="158"/>
      <c r="Y94" s="158"/>
      <c r="Z94" s="158"/>
      <c r="AA94" s="158"/>
      <c r="AB94" s="158"/>
      <c r="AC94" s="177"/>
      <c r="AD94" s="157"/>
      <c r="AE94" s="158"/>
      <c r="AF94" s="158"/>
      <c r="AG94" s="158"/>
      <c r="AH94" s="158"/>
      <c r="AI94" s="158"/>
      <c r="AJ94" s="186"/>
    </row>
    <row r="95" spans="4:36" x14ac:dyDescent="0.25">
      <c r="D95" s="118" t="s">
        <v>94</v>
      </c>
      <c r="E95" s="114">
        <v>67000</v>
      </c>
      <c r="F95" s="147"/>
      <c r="G95" s="114">
        <f t="shared" si="41"/>
        <v>0</v>
      </c>
      <c r="H95" s="10"/>
      <c r="I95" s="157"/>
      <c r="J95" s="158"/>
      <c r="K95" s="158"/>
      <c r="L95" s="158"/>
      <c r="M95" s="158"/>
      <c r="N95" s="158"/>
      <c r="O95" s="177"/>
      <c r="P95" s="157"/>
      <c r="Q95" s="158"/>
      <c r="R95" s="158"/>
      <c r="S95" s="158"/>
      <c r="T95" s="158"/>
      <c r="U95" s="158"/>
      <c r="V95" s="177"/>
      <c r="W95" s="157"/>
      <c r="X95" s="158"/>
      <c r="Y95" s="158"/>
      <c r="Z95" s="158"/>
      <c r="AA95" s="158"/>
      <c r="AB95" s="158"/>
      <c r="AC95" s="177"/>
      <c r="AD95" s="157"/>
      <c r="AE95" s="158"/>
      <c r="AF95" s="158"/>
      <c r="AG95" s="158"/>
      <c r="AH95" s="158"/>
      <c r="AI95" s="158"/>
      <c r="AJ95" s="186"/>
    </row>
    <row r="96" spans="4:36" ht="30.75" thickBot="1" x14ac:dyDescent="0.3">
      <c r="D96" s="118" t="s">
        <v>113</v>
      </c>
      <c r="E96" s="130">
        <v>5100</v>
      </c>
      <c r="F96" s="152"/>
      <c r="G96" s="130">
        <f t="shared" si="41"/>
        <v>0</v>
      </c>
      <c r="H96" s="23"/>
      <c r="I96" s="157"/>
      <c r="J96" s="158"/>
      <c r="K96" s="158"/>
      <c r="L96" s="158"/>
      <c r="M96" s="158"/>
      <c r="N96" s="158"/>
      <c r="O96" s="177"/>
      <c r="P96" s="157"/>
      <c r="Q96" s="158"/>
      <c r="R96" s="158"/>
      <c r="S96" s="158"/>
      <c r="T96" s="158"/>
      <c r="U96" s="158"/>
      <c r="V96" s="177"/>
      <c r="W96" s="157"/>
      <c r="X96" s="158"/>
      <c r="Y96" s="158"/>
      <c r="Z96" s="158"/>
      <c r="AA96" s="158"/>
      <c r="AB96" s="158"/>
      <c r="AC96" s="177"/>
      <c r="AD96" s="157"/>
      <c r="AE96" s="158"/>
      <c r="AF96" s="158"/>
      <c r="AG96" s="158"/>
      <c r="AH96" s="158"/>
      <c r="AI96" s="158"/>
      <c r="AJ96" s="186"/>
    </row>
    <row r="97" spans="4:36" ht="24" thickBot="1" x14ac:dyDescent="0.3">
      <c r="D97" s="94" t="s">
        <v>27</v>
      </c>
      <c r="E97" s="98"/>
      <c r="F97" s="99"/>
      <c r="G97" s="87">
        <f>SUM(G98:G120)</f>
        <v>0</v>
      </c>
      <c r="H97" s="100"/>
      <c r="I97" s="88" t="str">
        <f>IF(CONCATENATE(I98,I99,I100,I101,I102,I103,I104,I105,I106,I107,I108,I109,I110,I111,I112,I113,I114,I115,I116,I118,I117,I119,I120)&gt;" ","х"," ")</f>
        <v xml:space="preserve"> </v>
      </c>
      <c r="J97" s="89" t="str">
        <f t="shared" ref="J97:AJ97" si="42">IF(CONCATENATE(J98,J99,J100,J101,J102,J103,J104,J105,J106,J107,J108,J109,J110,J111,J112,J113,J114,J115,J116,J118,J117,J119,J120)&gt;" ","х"," ")</f>
        <v xml:space="preserve"> </v>
      </c>
      <c r="K97" s="89" t="str">
        <f t="shared" si="42"/>
        <v xml:space="preserve"> </v>
      </c>
      <c r="L97" s="89" t="str">
        <f t="shared" si="42"/>
        <v xml:space="preserve"> </v>
      </c>
      <c r="M97" s="89" t="str">
        <f t="shared" si="42"/>
        <v xml:space="preserve"> </v>
      </c>
      <c r="N97" s="89" t="str">
        <f t="shared" si="42"/>
        <v xml:space="preserve"> </v>
      </c>
      <c r="O97" s="181" t="str">
        <f t="shared" si="42"/>
        <v xml:space="preserve"> </v>
      </c>
      <c r="P97" s="88" t="str">
        <f t="shared" si="42"/>
        <v xml:space="preserve"> </v>
      </c>
      <c r="Q97" s="89" t="str">
        <f t="shared" si="42"/>
        <v xml:space="preserve"> </v>
      </c>
      <c r="R97" s="89" t="str">
        <f t="shared" si="42"/>
        <v xml:space="preserve"> </v>
      </c>
      <c r="S97" s="89" t="str">
        <f t="shared" si="42"/>
        <v xml:space="preserve"> </v>
      </c>
      <c r="T97" s="89" t="str">
        <f t="shared" si="42"/>
        <v xml:space="preserve"> </v>
      </c>
      <c r="U97" s="89" t="str">
        <f t="shared" si="42"/>
        <v xml:space="preserve"> </v>
      </c>
      <c r="V97" s="181" t="str">
        <f t="shared" si="42"/>
        <v xml:space="preserve"> </v>
      </c>
      <c r="W97" s="88" t="str">
        <f t="shared" si="42"/>
        <v xml:space="preserve"> </v>
      </c>
      <c r="X97" s="89" t="str">
        <f t="shared" si="42"/>
        <v xml:space="preserve"> </v>
      </c>
      <c r="Y97" s="89" t="str">
        <f t="shared" si="42"/>
        <v xml:space="preserve"> </v>
      </c>
      <c r="Z97" s="89" t="str">
        <f t="shared" si="42"/>
        <v xml:space="preserve"> </v>
      </c>
      <c r="AA97" s="89" t="str">
        <f t="shared" si="42"/>
        <v xml:space="preserve"> </v>
      </c>
      <c r="AB97" s="89" t="str">
        <f t="shared" si="42"/>
        <v xml:space="preserve"> </v>
      </c>
      <c r="AC97" s="181" t="str">
        <f t="shared" si="42"/>
        <v xml:space="preserve"> </v>
      </c>
      <c r="AD97" s="88" t="str">
        <f t="shared" si="42"/>
        <v xml:space="preserve"> </v>
      </c>
      <c r="AE97" s="89" t="str">
        <f t="shared" si="42"/>
        <v xml:space="preserve"> </v>
      </c>
      <c r="AF97" s="89" t="str">
        <f t="shared" si="42"/>
        <v xml:space="preserve"> </v>
      </c>
      <c r="AG97" s="89" t="str">
        <f t="shared" si="42"/>
        <v xml:space="preserve"> </v>
      </c>
      <c r="AH97" s="89" t="str">
        <f t="shared" si="42"/>
        <v xml:space="preserve"> </v>
      </c>
      <c r="AI97" s="89" t="str">
        <f t="shared" si="42"/>
        <v xml:space="preserve"> </v>
      </c>
      <c r="AJ97" s="181" t="str">
        <f t="shared" si="42"/>
        <v xml:space="preserve"> </v>
      </c>
    </row>
    <row r="98" spans="4:36" x14ac:dyDescent="0.25">
      <c r="D98" s="123" t="s">
        <v>28</v>
      </c>
      <c r="E98" s="122">
        <v>22600</v>
      </c>
      <c r="F98" s="150"/>
      <c r="G98" s="122">
        <f>E98*F98</f>
        <v>0</v>
      </c>
      <c r="H98" s="21"/>
      <c r="I98" s="157"/>
      <c r="J98" s="158"/>
      <c r="K98" s="158"/>
      <c r="L98" s="158"/>
      <c r="M98" s="158"/>
      <c r="N98" s="158"/>
      <c r="O98" s="177"/>
      <c r="P98" s="157"/>
      <c r="Q98" s="158"/>
      <c r="R98" s="158"/>
      <c r="S98" s="158"/>
      <c r="T98" s="158"/>
      <c r="U98" s="158"/>
      <c r="V98" s="177"/>
      <c r="W98" s="157"/>
      <c r="X98" s="158"/>
      <c r="Y98" s="158"/>
      <c r="Z98" s="158"/>
      <c r="AA98" s="158"/>
      <c r="AB98" s="158"/>
      <c r="AC98" s="177"/>
      <c r="AD98" s="157"/>
      <c r="AE98" s="158"/>
      <c r="AF98" s="158"/>
      <c r="AG98" s="158"/>
      <c r="AH98" s="158"/>
      <c r="AI98" s="158"/>
      <c r="AJ98" s="186"/>
    </row>
    <row r="99" spans="4:36" x14ac:dyDescent="0.25">
      <c r="D99" s="125" t="s">
        <v>43</v>
      </c>
      <c r="E99" s="124">
        <v>27300</v>
      </c>
      <c r="F99" s="150"/>
      <c r="G99" s="124">
        <f t="shared" ref="G99:G120" si="43">E99*F99</f>
        <v>0</v>
      </c>
      <c r="H99" s="11"/>
      <c r="I99" s="157"/>
      <c r="J99" s="158"/>
      <c r="K99" s="158"/>
      <c r="L99" s="158"/>
      <c r="M99" s="158"/>
      <c r="N99" s="158"/>
      <c r="O99" s="177"/>
      <c r="P99" s="157"/>
      <c r="Q99" s="158"/>
      <c r="R99" s="158"/>
      <c r="S99" s="158"/>
      <c r="T99" s="158"/>
      <c r="U99" s="158"/>
      <c r="V99" s="177"/>
      <c r="W99" s="157"/>
      <c r="X99" s="158"/>
      <c r="Y99" s="158"/>
      <c r="Z99" s="158"/>
      <c r="AA99" s="158"/>
      <c r="AB99" s="158"/>
      <c r="AC99" s="177"/>
      <c r="AD99" s="157"/>
      <c r="AE99" s="158"/>
      <c r="AF99" s="158"/>
      <c r="AG99" s="158"/>
      <c r="AH99" s="158"/>
      <c r="AI99" s="158"/>
      <c r="AJ99" s="186"/>
    </row>
    <row r="100" spans="4:36" x14ac:dyDescent="0.25">
      <c r="D100" s="125" t="s">
        <v>44</v>
      </c>
      <c r="E100" s="124">
        <v>6300</v>
      </c>
      <c r="F100" s="150"/>
      <c r="G100" s="124">
        <f t="shared" si="43"/>
        <v>0</v>
      </c>
      <c r="H100" s="11"/>
      <c r="I100" s="157"/>
      <c r="J100" s="158"/>
      <c r="K100" s="158"/>
      <c r="L100" s="158"/>
      <c r="M100" s="158"/>
      <c r="N100" s="158"/>
      <c r="O100" s="177"/>
      <c r="P100" s="157"/>
      <c r="Q100" s="158"/>
      <c r="R100" s="158"/>
      <c r="S100" s="158"/>
      <c r="T100" s="158"/>
      <c r="U100" s="158"/>
      <c r="V100" s="177"/>
      <c r="W100" s="157"/>
      <c r="X100" s="158"/>
      <c r="Y100" s="158"/>
      <c r="Z100" s="158"/>
      <c r="AA100" s="158"/>
      <c r="AB100" s="158"/>
      <c r="AC100" s="177"/>
      <c r="AD100" s="157"/>
      <c r="AE100" s="158"/>
      <c r="AF100" s="158"/>
      <c r="AG100" s="158"/>
      <c r="AH100" s="158"/>
      <c r="AI100" s="158"/>
      <c r="AJ100" s="186"/>
    </row>
    <row r="101" spans="4:36" x14ac:dyDescent="0.25">
      <c r="D101" s="125" t="s">
        <v>45</v>
      </c>
      <c r="E101" s="124">
        <v>8200</v>
      </c>
      <c r="F101" s="150"/>
      <c r="G101" s="124">
        <f t="shared" si="43"/>
        <v>0</v>
      </c>
      <c r="H101" s="11"/>
      <c r="I101" s="157"/>
      <c r="J101" s="158"/>
      <c r="K101" s="158"/>
      <c r="L101" s="158"/>
      <c r="M101" s="158"/>
      <c r="N101" s="158"/>
      <c r="O101" s="177"/>
      <c r="P101" s="157"/>
      <c r="Q101" s="158"/>
      <c r="R101" s="158"/>
      <c r="S101" s="158"/>
      <c r="T101" s="158"/>
      <c r="U101" s="158"/>
      <c r="V101" s="177"/>
      <c r="W101" s="157"/>
      <c r="X101" s="158"/>
      <c r="Y101" s="158"/>
      <c r="Z101" s="158"/>
      <c r="AA101" s="158"/>
      <c r="AB101" s="158"/>
      <c r="AC101" s="177"/>
      <c r="AD101" s="157"/>
      <c r="AE101" s="158"/>
      <c r="AF101" s="158"/>
      <c r="AG101" s="158"/>
      <c r="AH101" s="158"/>
      <c r="AI101" s="158"/>
      <c r="AJ101" s="186"/>
    </row>
    <row r="102" spans="4:36" x14ac:dyDescent="0.25">
      <c r="D102" s="125" t="s">
        <v>46</v>
      </c>
      <c r="E102" s="124">
        <v>41400</v>
      </c>
      <c r="F102" s="150"/>
      <c r="G102" s="124">
        <f t="shared" si="43"/>
        <v>0</v>
      </c>
      <c r="H102" s="11"/>
      <c r="I102" s="157"/>
      <c r="J102" s="158"/>
      <c r="K102" s="158"/>
      <c r="L102" s="158"/>
      <c r="M102" s="158"/>
      <c r="N102" s="158"/>
      <c r="O102" s="177"/>
      <c r="P102" s="157"/>
      <c r="Q102" s="158"/>
      <c r="R102" s="158"/>
      <c r="S102" s="158"/>
      <c r="T102" s="158"/>
      <c r="U102" s="158"/>
      <c r="V102" s="177"/>
      <c r="W102" s="157"/>
      <c r="X102" s="158"/>
      <c r="Y102" s="158"/>
      <c r="Z102" s="158"/>
      <c r="AA102" s="158"/>
      <c r="AB102" s="158"/>
      <c r="AC102" s="177"/>
      <c r="AD102" s="157"/>
      <c r="AE102" s="158"/>
      <c r="AF102" s="158"/>
      <c r="AG102" s="158"/>
      <c r="AH102" s="158"/>
      <c r="AI102" s="158"/>
      <c r="AJ102" s="186"/>
    </row>
    <row r="103" spans="4:36" x14ac:dyDescent="0.25">
      <c r="D103" s="125" t="s">
        <v>47</v>
      </c>
      <c r="E103" s="124">
        <v>51900</v>
      </c>
      <c r="F103" s="150"/>
      <c r="G103" s="124">
        <f t="shared" si="43"/>
        <v>0</v>
      </c>
      <c r="H103" s="11"/>
      <c r="I103" s="157"/>
      <c r="J103" s="158"/>
      <c r="K103" s="158"/>
      <c r="L103" s="158"/>
      <c r="M103" s="158"/>
      <c r="N103" s="158"/>
      <c r="O103" s="177"/>
      <c r="P103" s="157"/>
      <c r="Q103" s="158"/>
      <c r="R103" s="158"/>
      <c r="S103" s="158"/>
      <c r="T103" s="158"/>
      <c r="U103" s="158"/>
      <c r="V103" s="177"/>
      <c r="W103" s="157"/>
      <c r="X103" s="158"/>
      <c r="Y103" s="158"/>
      <c r="Z103" s="158"/>
      <c r="AA103" s="158"/>
      <c r="AB103" s="158"/>
      <c r="AC103" s="177"/>
      <c r="AD103" s="157"/>
      <c r="AE103" s="158"/>
      <c r="AF103" s="158"/>
      <c r="AG103" s="158"/>
      <c r="AH103" s="158"/>
      <c r="AI103" s="158"/>
      <c r="AJ103" s="186"/>
    </row>
    <row r="104" spans="4:36" x14ac:dyDescent="0.25">
      <c r="D104" s="125" t="s">
        <v>48</v>
      </c>
      <c r="E104" s="124">
        <v>78000</v>
      </c>
      <c r="F104" s="150"/>
      <c r="G104" s="124">
        <f t="shared" si="43"/>
        <v>0</v>
      </c>
      <c r="H104" s="11"/>
      <c r="I104" s="157"/>
      <c r="J104" s="158"/>
      <c r="K104" s="158"/>
      <c r="L104" s="158"/>
      <c r="M104" s="158"/>
      <c r="N104" s="158"/>
      <c r="O104" s="177"/>
      <c r="P104" s="157"/>
      <c r="Q104" s="158"/>
      <c r="R104" s="158"/>
      <c r="S104" s="158"/>
      <c r="T104" s="158"/>
      <c r="U104" s="158"/>
      <c r="V104" s="177"/>
      <c r="W104" s="157"/>
      <c r="X104" s="158"/>
      <c r="Y104" s="158"/>
      <c r="Z104" s="158"/>
      <c r="AA104" s="158"/>
      <c r="AB104" s="158"/>
      <c r="AC104" s="177"/>
      <c r="AD104" s="157"/>
      <c r="AE104" s="158"/>
      <c r="AF104" s="158"/>
      <c r="AG104" s="158"/>
      <c r="AH104" s="158"/>
      <c r="AI104" s="158"/>
      <c r="AJ104" s="186"/>
    </row>
    <row r="105" spans="4:36" x14ac:dyDescent="0.25">
      <c r="D105" s="125" t="s">
        <v>49</v>
      </c>
      <c r="E105" s="124">
        <v>97600</v>
      </c>
      <c r="F105" s="150"/>
      <c r="G105" s="124">
        <f t="shared" si="43"/>
        <v>0</v>
      </c>
      <c r="H105" s="11"/>
      <c r="I105" s="157"/>
      <c r="J105" s="158"/>
      <c r="K105" s="158"/>
      <c r="L105" s="158"/>
      <c r="M105" s="158"/>
      <c r="N105" s="158"/>
      <c r="O105" s="177"/>
      <c r="P105" s="157"/>
      <c r="Q105" s="158"/>
      <c r="R105" s="158"/>
      <c r="S105" s="158"/>
      <c r="T105" s="158"/>
      <c r="U105" s="158"/>
      <c r="V105" s="177"/>
      <c r="W105" s="157"/>
      <c r="X105" s="158"/>
      <c r="Y105" s="158"/>
      <c r="Z105" s="158"/>
      <c r="AA105" s="158"/>
      <c r="AB105" s="158"/>
      <c r="AC105" s="177"/>
      <c r="AD105" s="157"/>
      <c r="AE105" s="158"/>
      <c r="AF105" s="158"/>
      <c r="AG105" s="158"/>
      <c r="AH105" s="158"/>
      <c r="AI105" s="158"/>
      <c r="AJ105" s="186"/>
    </row>
    <row r="106" spans="4:36" x14ac:dyDescent="0.25">
      <c r="D106" s="125" t="s">
        <v>50</v>
      </c>
      <c r="E106" s="124">
        <v>21600</v>
      </c>
      <c r="F106" s="150"/>
      <c r="G106" s="124">
        <f t="shared" si="43"/>
        <v>0</v>
      </c>
      <c r="H106" s="11"/>
      <c r="I106" s="157"/>
      <c r="J106" s="158"/>
      <c r="K106" s="158"/>
      <c r="L106" s="158"/>
      <c r="M106" s="158"/>
      <c r="N106" s="158"/>
      <c r="O106" s="177"/>
      <c r="P106" s="157"/>
      <c r="Q106" s="158"/>
      <c r="R106" s="158"/>
      <c r="S106" s="158"/>
      <c r="T106" s="158"/>
      <c r="U106" s="158"/>
      <c r="V106" s="177"/>
      <c r="W106" s="157"/>
      <c r="X106" s="158"/>
      <c r="Y106" s="158"/>
      <c r="Z106" s="158"/>
      <c r="AA106" s="158"/>
      <c r="AB106" s="158"/>
      <c r="AC106" s="177"/>
      <c r="AD106" s="157"/>
      <c r="AE106" s="158"/>
      <c r="AF106" s="158"/>
      <c r="AG106" s="158"/>
      <c r="AH106" s="158"/>
      <c r="AI106" s="158"/>
      <c r="AJ106" s="186"/>
    </row>
    <row r="107" spans="4:36" x14ac:dyDescent="0.25">
      <c r="D107" s="125" t="s">
        <v>51</v>
      </c>
      <c r="E107" s="124">
        <v>28100</v>
      </c>
      <c r="F107" s="150"/>
      <c r="G107" s="124">
        <f t="shared" si="43"/>
        <v>0</v>
      </c>
      <c r="H107" s="11"/>
      <c r="I107" s="157"/>
      <c r="J107" s="158"/>
      <c r="K107" s="158"/>
      <c r="L107" s="158"/>
      <c r="M107" s="158"/>
      <c r="N107" s="158"/>
      <c r="O107" s="177"/>
      <c r="P107" s="157"/>
      <c r="Q107" s="158"/>
      <c r="R107" s="158"/>
      <c r="S107" s="158"/>
      <c r="T107" s="158"/>
      <c r="U107" s="158"/>
      <c r="V107" s="177"/>
      <c r="W107" s="157"/>
      <c r="X107" s="158"/>
      <c r="Y107" s="158"/>
      <c r="Z107" s="158"/>
      <c r="AA107" s="158"/>
      <c r="AB107" s="158"/>
      <c r="AC107" s="177"/>
      <c r="AD107" s="157"/>
      <c r="AE107" s="158"/>
      <c r="AF107" s="158"/>
      <c r="AG107" s="158"/>
      <c r="AH107" s="158"/>
      <c r="AI107" s="158"/>
      <c r="AJ107" s="186"/>
    </row>
    <row r="108" spans="4:36" x14ac:dyDescent="0.25">
      <c r="D108" s="125" t="s">
        <v>52</v>
      </c>
      <c r="E108" s="124">
        <v>187200</v>
      </c>
      <c r="F108" s="150"/>
      <c r="G108" s="124">
        <f t="shared" si="43"/>
        <v>0</v>
      </c>
      <c r="H108" s="11"/>
      <c r="I108" s="157"/>
      <c r="J108" s="158"/>
      <c r="K108" s="158"/>
      <c r="L108" s="158"/>
      <c r="M108" s="158"/>
      <c r="N108" s="158"/>
      <c r="O108" s="177"/>
      <c r="P108" s="157"/>
      <c r="Q108" s="158"/>
      <c r="R108" s="158"/>
      <c r="S108" s="158"/>
      <c r="T108" s="158"/>
      <c r="U108" s="158"/>
      <c r="V108" s="177"/>
      <c r="W108" s="157"/>
      <c r="X108" s="158"/>
      <c r="Y108" s="158"/>
      <c r="Z108" s="158"/>
      <c r="AA108" s="158"/>
      <c r="AB108" s="158"/>
      <c r="AC108" s="177"/>
      <c r="AD108" s="157"/>
      <c r="AE108" s="158"/>
      <c r="AF108" s="158"/>
      <c r="AG108" s="158"/>
      <c r="AH108" s="158"/>
      <c r="AI108" s="158"/>
      <c r="AJ108" s="186"/>
    </row>
    <row r="109" spans="4:36" x14ac:dyDescent="0.25">
      <c r="D109" s="125" t="s">
        <v>53</v>
      </c>
      <c r="E109" s="124">
        <v>224700</v>
      </c>
      <c r="F109" s="150"/>
      <c r="G109" s="124">
        <f t="shared" si="43"/>
        <v>0</v>
      </c>
      <c r="H109" s="11"/>
      <c r="I109" s="157"/>
      <c r="J109" s="158"/>
      <c r="K109" s="158"/>
      <c r="L109" s="158"/>
      <c r="M109" s="158"/>
      <c r="N109" s="158"/>
      <c r="O109" s="177"/>
      <c r="P109" s="157"/>
      <c r="Q109" s="158"/>
      <c r="R109" s="158"/>
      <c r="S109" s="158"/>
      <c r="T109" s="158"/>
      <c r="U109" s="158"/>
      <c r="V109" s="177"/>
      <c r="W109" s="157"/>
      <c r="X109" s="158"/>
      <c r="Y109" s="158"/>
      <c r="Z109" s="158"/>
      <c r="AA109" s="158"/>
      <c r="AB109" s="158"/>
      <c r="AC109" s="177"/>
      <c r="AD109" s="157"/>
      <c r="AE109" s="158"/>
      <c r="AF109" s="158"/>
      <c r="AG109" s="158"/>
      <c r="AH109" s="158"/>
      <c r="AI109" s="158"/>
      <c r="AJ109" s="186"/>
    </row>
    <row r="110" spans="4:36" x14ac:dyDescent="0.25">
      <c r="D110" s="125" t="s">
        <v>54</v>
      </c>
      <c r="E110" s="124">
        <v>86400</v>
      </c>
      <c r="F110" s="150"/>
      <c r="G110" s="124">
        <f t="shared" si="43"/>
        <v>0</v>
      </c>
      <c r="H110" s="11"/>
      <c r="I110" s="157"/>
      <c r="J110" s="158"/>
      <c r="K110" s="158"/>
      <c r="L110" s="158"/>
      <c r="M110" s="158"/>
      <c r="N110" s="158"/>
      <c r="O110" s="177"/>
      <c r="P110" s="157"/>
      <c r="Q110" s="158"/>
      <c r="R110" s="158"/>
      <c r="S110" s="158"/>
      <c r="T110" s="158"/>
      <c r="U110" s="158"/>
      <c r="V110" s="177"/>
      <c r="W110" s="157"/>
      <c r="X110" s="158"/>
      <c r="Y110" s="158"/>
      <c r="Z110" s="158"/>
      <c r="AA110" s="158"/>
      <c r="AB110" s="158"/>
      <c r="AC110" s="177"/>
      <c r="AD110" s="157"/>
      <c r="AE110" s="158"/>
      <c r="AF110" s="158"/>
      <c r="AG110" s="158"/>
      <c r="AH110" s="158"/>
      <c r="AI110" s="158"/>
      <c r="AJ110" s="186"/>
    </row>
    <row r="111" spans="4:36" x14ac:dyDescent="0.25">
      <c r="D111" s="125" t="s">
        <v>55</v>
      </c>
      <c r="E111" s="124">
        <v>103700</v>
      </c>
      <c r="F111" s="150"/>
      <c r="G111" s="124">
        <f t="shared" si="43"/>
        <v>0</v>
      </c>
      <c r="H111" s="11"/>
      <c r="I111" s="157"/>
      <c r="J111" s="158"/>
      <c r="K111" s="158"/>
      <c r="L111" s="158"/>
      <c r="M111" s="158"/>
      <c r="N111" s="158"/>
      <c r="O111" s="177"/>
      <c r="P111" s="157"/>
      <c r="Q111" s="158"/>
      <c r="R111" s="158"/>
      <c r="S111" s="158"/>
      <c r="T111" s="158"/>
      <c r="U111" s="158"/>
      <c r="V111" s="177"/>
      <c r="W111" s="157"/>
      <c r="X111" s="158"/>
      <c r="Y111" s="158"/>
      <c r="Z111" s="158"/>
      <c r="AA111" s="158"/>
      <c r="AB111" s="158"/>
      <c r="AC111" s="177"/>
      <c r="AD111" s="157"/>
      <c r="AE111" s="158"/>
      <c r="AF111" s="158"/>
      <c r="AG111" s="158"/>
      <c r="AH111" s="158"/>
      <c r="AI111" s="158"/>
      <c r="AJ111" s="186"/>
    </row>
    <row r="112" spans="4:36" x14ac:dyDescent="0.25">
      <c r="D112" s="125" t="s">
        <v>54</v>
      </c>
      <c r="E112" s="124">
        <v>86400</v>
      </c>
      <c r="F112" s="150"/>
      <c r="G112" s="124">
        <f t="shared" si="43"/>
        <v>0</v>
      </c>
      <c r="H112" s="11"/>
      <c r="I112" s="157"/>
      <c r="J112" s="158"/>
      <c r="K112" s="158"/>
      <c r="L112" s="158"/>
      <c r="M112" s="158"/>
      <c r="N112" s="158"/>
      <c r="O112" s="177"/>
      <c r="P112" s="157"/>
      <c r="Q112" s="158"/>
      <c r="R112" s="158"/>
      <c r="S112" s="158"/>
      <c r="T112" s="158"/>
      <c r="U112" s="158"/>
      <c r="V112" s="177"/>
      <c r="W112" s="157"/>
      <c r="X112" s="158"/>
      <c r="Y112" s="158"/>
      <c r="Z112" s="158"/>
      <c r="AA112" s="158"/>
      <c r="AB112" s="158"/>
      <c r="AC112" s="177"/>
      <c r="AD112" s="157"/>
      <c r="AE112" s="158"/>
      <c r="AF112" s="158"/>
      <c r="AG112" s="158"/>
      <c r="AH112" s="158"/>
      <c r="AI112" s="158"/>
      <c r="AJ112" s="186"/>
    </row>
    <row r="113" spans="4:36" x14ac:dyDescent="0.25">
      <c r="D113" s="125" t="s">
        <v>56</v>
      </c>
      <c r="E113" s="124">
        <v>1450</v>
      </c>
      <c r="F113" s="150"/>
      <c r="G113" s="124">
        <f t="shared" si="43"/>
        <v>0</v>
      </c>
      <c r="H113" s="11"/>
      <c r="I113" s="157"/>
      <c r="J113" s="158"/>
      <c r="K113" s="158"/>
      <c r="L113" s="158"/>
      <c r="M113" s="158"/>
      <c r="N113" s="158"/>
      <c r="O113" s="177"/>
      <c r="P113" s="157"/>
      <c r="Q113" s="158"/>
      <c r="R113" s="158"/>
      <c r="S113" s="158"/>
      <c r="T113" s="158"/>
      <c r="U113" s="158"/>
      <c r="V113" s="177"/>
      <c r="W113" s="157"/>
      <c r="X113" s="158"/>
      <c r="Y113" s="158"/>
      <c r="Z113" s="158"/>
      <c r="AA113" s="158"/>
      <c r="AB113" s="158"/>
      <c r="AC113" s="177"/>
      <c r="AD113" s="157"/>
      <c r="AE113" s="158"/>
      <c r="AF113" s="158"/>
      <c r="AG113" s="158"/>
      <c r="AH113" s="158"/>
      <c r="AI113" s="158"/>
      <c r="AJ113" s="186"/>
    </row>
    <row r="114" spans="4:36" x14ac:dyDescent="0.25">
      <c r="D114" s="125" t="s">
        <v>79</v>
      </c>
      <c r="E114" s="124">
        <v>28500</v>
      </c>
      <c r="F114" s="150"/>
      <c r="G114" s="124">
        <f t="shared" si="43"/>
        <v>0</v>
      </c>
      <c r="H114" s="11"/>
      <c r="I114" s="157"/>
      <c r="J114" s="158"/>
      <c r="K114" s="158"/>
      <c r="L114" s="158"/>
      <c r="M114" s="158"/>
      <c r="N114" s="158"/>
      <c r="O114" s="177"/>
      <c r="P114" s="157"/>
      <c r="Q114" s="158"/>
      <c r="R114" s="158"/>
      <c r="S114" s="158"/>
      <c r="T114" s="158"/>
      <c r="U114" s="158"/>
      <c r="V114" s="177"/>
      <c r="W114" s="157"/>
      <c r="X114" s="158"/>
      <c r="Y114" s="158"/>
      <c r="Z114" s="158"/>
      <c r="AA114" s="158"/>
      <c r="AB114" s="158"/>
      <c r="AC114" s="177"/>
      <c r="AD114" s="157"/>
      <c r="AE114" s="158"/>
      <c r="AF114" s="158"/>
      <c r="AG114" s="158"/>
      <c r="AH114" s="158"/>
      <c r="AI114" s="158"/>
      <c r="AJ114" s="186"/>
    </row>
    <row r="115" spans="4:36" x14ac:dyDescent="0.25">
      <c r="D115" s="125" t="s">
        <v>57</v>
      </c>
      <c r="E115" s="124">
        <v>40000</v>
      </c>
      <c r="F115" s="150"/>
      <c r="G115" s="124">
        <f t="shared" si="43"/>
        <v>0</v>
      </c>
      <c r="H115" s="11"/>
      <c r="I115" s="157"/>
      <c r="J115" s="158"/>
      <c r="K115" s="158"/>
      <c r="L115" s="158"/>
      <c r="M115" s="158"/>
      <c r="N115" s="158"/>
      <c r="O115" s="177"/>
      <c r="P115" s="157"/>
      <c r="Q115" s="158"/>
      <c r="R115" s="158"/>
      <c r="S115" s="158"/>
      <c r="T115" s="158"/>
      <c r="U115" s="158"/>
      <c r="V115" s="177"/>
      <c r="W115" s="157"/>
      <c r="X115" s="158"/>
      <c r="Y115" s="158"/>
      <c r="Z115" s="158"/>
      <c r="AA115" s="158"/>
      <c r="AB115" s="158"/>
      <c r="AC115" s="177"/>
      <c r="AD115" s="157"/>
      <c r="AE115" s="158"/>
      <c r="AF115" s="158"/>
      <c r="AG115" s="158"/>
      <c r="AH115" s="158"/>
      <c r="AI115" s="158"/>
      <c r="AJ115" s="186"/>
    </row>
    <row r="116" spans="4:36" x14ac:dyDescent="0.25">
      <c r="D116" s="125" t="s">
        <v>78</v>
      </c>
      <c r="E116" s="124">
        <v>28500</v>
      </c>
      <c r="F116" s="150"/>
      <c r="G116" s="124">
        <f t="shared" si="43"/>
        <v>0</v>
      </c>
      <c r="H116" s="11"/>
      <c r="I116" s="157"/>
      <c r="J116" s="158"/>
      <c r="K116" s="158"/>
      <c r="L116" s="158"/>
      <c r="M116" s="158"/>
      <c r="N116" s="158"/>
      <c r="O116" s="177"/>
      <c r="P116" s="157"/>
      <c r="Q116" s="158"/>
      <c r="R116" s="158"/>
      <c r="S116" s="158"/>
      <c r="T116" s="158"/>
      <c r="U116" s="158"/>
      <c r="V116" s="177"/>
      <c r="W116" s="157"/>
      <c r="X116" s="158"/>
      <c r="Y116" s="158"/>
      <c r="Z116" s="158"/>
      <c r="AA116" s="158"/>
      <c r="AB116" s="158"/>
      <c r="AC116" s="177"/>
      <c r="AD116" s="157"/>
      <c r="AE116" s="158"/>
      <c r="AF116" s="158"/>
      <c r="AG116" s="158"/>
      <c r="AH116" s="158"/>
      <c r="AI116" s="158"/>
      <c r="AJ116" s="186"/>
    </row>
    <row r="117" spans="4:36" x14ac:dyDescent="0.25">
      <c r="D117" s="113" t="s">
        <v>58</v>
      </c>
      <c r="E117" s="124">
        <v>27500</v>
      </c>
      <c r="F117" s="150"/>
      <c r="G117" s="124">
        <f t="shared" si="43"/>
        <v>0</v>
      </c>
      <c r="H117" s="11"/>
      <c r="I117" s="157"/>
      <c r="J117" s="158"/>
      <c r="K117" s="158"/>
      <c r="L117" s="158"/>
      <c r="M117" s="158"/>
      <c r="N117" s="158"/>
      <c r="O117" s="177"/>
      <c r="P117" s="157"/>
      <c r="Q117" s="158"/>
      <c r="R117" s="158"/>
      <c r="S117" s="158"/>
      <c r="T117" s="158"/>
      <c r="U117" s="158"/>
      <c r="V117" s="177"/>
      <c r="W117" s="157"/>
      <c r="X117" s="158"/>
      <c r="Y117" s="158"/>
      <c r="Z117" s="158"/>
      <c r="AA117" s="158"/>
      <c r="AB117" s="158"/>
      <c r="AC117" s="177"/>
      <c r="AD117" s="157"/>
      <c r="AE117" s="158"/>
      <c r="AF117" s="158"/>
      <c r="AG117" s="158"/>
      <c r="AH117" s="158"/>
      <c r="AI117" s="158"/>
      <c r="AJ117" s="186"/>
    </row>
    <row r="118" spans="4:36" x14ac:dyDescent="0.25">
      <c r="D118" s="125" t="s">
        <v>59</v>
      </c>
      <c r="E118" s="124">
        <v>55000</v>
      </c>
      <c r="F118" s="150"/>
      <c r="G118" s="124">
        <f t="shared" si="43"/>
        <v>0</v>
      </c>
      <c r="H118" s="11"/>
      <c r="I118" s="157"/>
      <c r="J118" s="158"/>
      <c r="K118" s="158"/>
      <c r="L118" s="158"/>
      <c r="M118" s="158"/>
      <c r="N118" s="158"/>
      <c r="O118" s="177"/>
      <c r="P118" s="157"/>
      <c r="Q118" s="158"/>
      <c r="R118" s="158"/>
      <c r="S118" s="158"/>
      <c r="T118" s="158"/>
      <c r="U118" s="158"/>
      <c r="V118" s="177"/>
      <c r="W118" s="157"/>
      <c r="X118" s="158"/>
      <c r="Y118" s="158"/>
      <c r="Z118" s="158"/>
      <c r="AA118" s="158"/>
      <c r="AB118" s="158"/>
      <c r="AC118" s="177"/>
      <c r="AD118" s="157"/>
      <c r="AE118" s="158"/>
      <c r="AF118" s="158"/>
      <c r="AG118" s="158"/>
      <c r="AH118" s="158"/>
      <c r="AI118" s="158"/>
      <c r="AJ118" s="186"/>
    </row>
    <row r="119" spans="4:36" x14ac:dyDescent="0.25">
      <c r="D119" s="125" t="s">
        <v>60</v>
      </c>
      <c r="E119" s="124">
        <v>5000</v>
      </c>
      <c r="F119" s="150"/>
      <c r="G119" s="124">
        <f t="shared" si="43"/>
        <v>0</v>
      </c>
      <c r="H119" s="11"/>
      <c r="I119" s="157"/>
      <c r="J119" s="158"/>
      <c r="K119" s="158"/>
      <c r="L119" s="158"/>
      <c r="M119" s="158"/>
      <c r="N119" s="158"/>
      <c r="O119" s="177"/>
      <c r="P119" s="157"/>
      <c r="Q119" s="158"/>
      <c r="R119" s="158"/>
      <c r="S119" s="158"/>
      <c r="T119" s="158"/>
      <c r="U119" s="158"/>
      <c r="V119" s="177"/>
      <c r="W119" s="157"/>
      <c r="X119" s="158"/>
      <c r="Y119" s="158"/>
      <c r="Z119" s="158"/>
      <c r="AA119" s="158"/>
      <c r="AB119" s="158"/>
      <c r="AC119" s="177"/>
      <c r="AD119" s="157"/>
      <c r="AE119" s="158"/>
      <c r="AF119" s="158"/>
      <c r="AG119" s="158"/>
      <c r="AH119" s="158"/>
      <c r="AI119" s="158"/>
      <c r="AJ119" s="186"/>
    </row>
    <row r="120" spans="4:36" ht="15.75" thickBot="1" x14ac:dyDescent="0.3">
      <c r="D120" s="128" t="s">
        <v>61</v>
      </c>
      <c r="E120" s="130">
        <v>23000</v>
      </c>
      <c r="F120" s="150"/>
      <c r="G120" s="130">
        <f t="shared" si="43"/>
        <v>0</v>
      </c>
      <c r="H120" s="23"/>
      <c r="I120" s="157"/>
      <c r="J120" s="158"/>
      <c r="K120" s="158"/>
      <c r="L120" s="158"/>
      <c r="M120" s="158"/>
      <c r="N120" s="158"/>
      <c r="O120" s="177"/>
      <c r="P120" s="157"/>
      <c r="Q120" s="158"/>
      <c r="R120" s="158"/>
      <c r="S120" s="158"/>
      <c r="T120" s="158"/>
      <c r="U120" s="158"/>
      <c r="V120" s="177"/>
      <c r="W120" s="157"/>
      <c r="X120" s="158"/>
      <c r="Y120" s="158"/>
      <c r="Z120" s="158"/>
      <c r="AA120" s="158"/>
      <c r="AB120" s="158"/>
      <c r="AC120" s="177"/>
      <c r="AD120" s="157"/>
      <c r="AE120" s="158"/>
      <c r="AF120" s="158"/>
      <c r="AG120" s="158"/>
      <c r="AH120" s="158"/>
      <c r="AI120" s="158"/>
      <c r="AJ120" s="186"/>
    </row>
    <row r="121" spans="4:36" ht="24" thickBot="1" x14ac:dyDescent="0.3">
      <c r="D121" s="94" t="s">
        <v>5</v>
      </c>
      <c r="E121" s="95"/>
      <c r="F121" s="86"/>
      <c r="G121" s="87">
        <f>SUM(G122:G129)</f>
        <v>0</v>
      </c>
      <c r="H121" s="85"/>
      <c r="I121" s="88" t="str">
        <f>IF(CONCATENATE(I122,I123,I124,I125,I126,I127,I128,I129)&gt;" ","х"," ")</f>
        <v xml:space="preserve"> </v>
      </c>
      <c r="J121" s="89" t="str">
        <f>IF(CONCATENATE(J122,J123,J124,J125,J126,J127,J128,J129)&gt;" ","х"," ")</f>
        <v xml:space="preserve"> </v>
      </c>
      <c r="K121" s="89" t="str">
        <f t="shared" ref="K121:O121" si="44">IF(CONCATENATE(K122,K123,K124,K125,K126,K127,K128,K129)&gt;" ","х"," ")</f>
        <v xml:space="preserve"> </v>
      </c>
      <c r="L121" s="89" t="str">
        <f t="shared" si="44"/>
        <v xml:space="preserve"> </v>
      </c>
      <c r="M121" s="89" t="str">
        <f t="shared" si="44"/>
        <v xml:space="preserve"> </v>
      </c>
      <c r="N121" s="89" t="str">
        <f t="shared" si="44"/>
        <v xml:space="preserve"> </v>
      </c>
      <c r="O121" s="176" t="str">
        <f t="shared" si="44"/>
        <v xml:space="preserve"> </v>
      </c>
      <c r="P121" s="88" t="str">
        <f>IF(CONCATENATE(P122,P123,P124,P125,P126,P127,P128,P129)&gt;" ","х"," ")</f>
        <v xml:space="preserve"> </v>
      </c>
      <c r="Q121" s="89" t="str">
        <f>IF(CONCATENATE(Q122,Q123,Q124,Q125,Q126,Q127,Q128,Q129)&gt;" ","х"," ")</f>
        <v xml:space="preserve"> </v>
      </c>
      <c r="R121" s="89" t="str">
        <f t="shared" ref="R121:V121" si="45">IF(CONCATENATE(R122,R123,R124,R125,R126,R127,R128,R129)&gt;" ","х"," ")</f>
        <v xml:space="preserve"> </v>
      </c>
      <c r="S121" s="89" t="str">
        <f t="shared" si="45"/>
        <v xml:space="preserve"> </v>
      </c>
      <c r="T121" s="89" t="str">
        <f t="shared" si="45"/>
        <v xml:space="preserve"> </v>
      </c>
      <c r="U121" s="89" t="str">
        <f t="shared" si="45"/>
        <v xml:space="preserve"> </v>
      </c>
      <c r="V121" s="176" t="str">
        <f t="shared" si="45"/>
        <v xml:space="preserve"> </v>
      </c>
      <c r="W121" s="88" t="str">
        <f>IF(CONCATENATE(W122,W123,W124,W125,W126,W127,W128,W129)&gt;" ","х"," ")</f>
        <v xml:space="preserve"> </v>
      </c>
      <c r="X121" s="89" t="str">
        <f>IF(CONCATENATE(X122,X123,X124,X125,X126,X127,X128,X129)&gt;" ","х"," ")</f>
        <v xml:space="preserve"> </v>
      </c>
      <c r="Y121" s="89" t="str">
        <f t="shared" ref="Y121:AC121" si="46">IF(CONCATENATE(Y122,Y123,Y124,Y125,Y126,Y127,Y128,Y129)&gt;" ","х"," ")</f>
        <v xml:space="preserve"> </v>
      </c>
      <c r="Z121" s="89" t="str">
        <f t="shared" si="46"/>
        <v xml:space="preserve"> </v>
      </c>
      <c r="AA121" s="89" t="str">
        <f t="shared" si="46"/>
        <v xml:space="preserve"> </v>
      </c>
      <c r="AB121" s="89" t="str">
        <f t="shared" si="46"/>
        <v xml:space="preserve"> </v>
      </c>
      <c r="AC121" s="176" t="str">
        <f t="shared" si="46"/>
        <v xml:space="preserve"> </v>
      </c>
      <c r="AD121" s="88" t="str">
        <f>IF(CONCATENATE(AD122,AD123,AD124,AD125,AD126,AD127,AD128,AD129)&gt;" ","х"," ")</f>
        <v xml:space="preserve"> </v>
      </c>
      <c r="AE121" s="89" t="str">
        <f>IF(CONCATENATE(AE122,AE123,AE124,AE125,AE126,AE127,AE128,AE129)&gt;" ","х"," ")</f>
        <v xml:space="preserve"> </v>
      </c>
      <c r="AF121" s="89" t="str">
        <f t="shared" ref="AF121:AJ121" si="47">IF(CONCATENATE(AF122,AF123,AF124,AF125,AF126,AF127,AF128,AF129)&gt;" ","х"," ")</f>
        <v xml:space="preserve"> </v>
      </c>
      <c r="AG121" s="89" t="str">
        <f t="shared" si="47"/>
        <v xml:space="preserve"> </v>
      </c>
      <c r="AH121" s="89" t="str">
        <f t="shared" si="47"/>
        <v xml:space="preserve"> </v>
      </c>
      <c r="AI121" s="89" t="str">
        <f t="shared" si="47"/>
        <v xml:space="preserve"> </v>
      </c>
      <c r="AJ121" s="181" t="str">
        <f t="shared" si="47"/>
        <v xml:space="preserve"> </v>
      </c>
    </row>
    <row r="122" spans="4:36" x14ac:dyDescent="0.25">
      <c r="D122" s="131" t="s">
        <v>6</v>
      </c>
      <c r="E122" s="132">
        <v>60000</v>
      </c>
      <c r="F122" s="153"/>
      <c r="G122" s="132">
        <f>E122*F122</f>
        <v>0</v>
      </c>
      <c r="H122" s="24"/>
      <c r="I122" s="157"/>
      <c r="J122" s="158"/>
      <c r="K122" s="158"/>
      <c r="L122" s="158"/>
      <c r="M122" s="158"/>
      <c r="N122" s="158"/>
      <c r="O122" s="177"/>
      <c r="P122" s="157"/>
      <c r="Q122" s="158"/>
      <c r="R122" s="158"/>
      <c r="S122" s="158"/>
      <c r="T122" s="158"/>
      <c r="U122" s="158"/>
      <c r="V122" s="177"/>
      <c r="W122" s="157"/>
      <c r="X122" s="158"/>
      <c r="Y122" s="158"/>
      <c r="Z122" s="158"/>
      <c r="AA122" s="158"/>
      <c r="AB122" s="158"/>
      <c r="AC122" s="177"/>
      <c r="AD122" s="157"/>
      <c r="AE122" s="158"/>
      <c r="AF122" s="158"/>
      <c r="AG122" s="158"/>
      <c r="AH122" s="158"/>
      <c r="AI122" s="158"/>
      <c r="AJ122" s="185"/>
    </row>
    <row r="123" spans="4:36" x14ac:dyDescent="0.25">
      <c r="D123" s="133" t="s">
        <v>10</v>
      </c>
      <c r="E123" s="134">
        <v>290000</v>
      </c>
      <c r="F123" s="153"/>
      <c r="G123" s="134">
        <f>E123*F123</f>
        <v>0</v>
      </c>
      <c r="H123" s="12"/>
      <c r="I123" s="157"/>
      <c r="J123" s="158"/>
      <c r="K123" s="158"/>
      <c r="L123" s="158"/>
      <c r="M123" s="158"/>
      <c r="N123" s="158"/>
      <c r="O123" s="177"/>
      <c r="P123" s="157"/>
      <c r="Q123" s="158"/>
      <c r="R123" s="158"/>
      <c r="S123" s="158"/>
      <c r="T123" s="158"/>
      <c r="U123" s="158"/>
      <c r="V123" s="177"/>
      <c r="W123" s="157"/>
      <c r="X123" s="158"/>
      <c r="Y123" s="158"/>
      <c r="Z123" s="158"/>
      <c r="AA123" s="158"/>
      <c r="AB123" s="158"/>
      <c r="AC123" s="177"/>
      <c r="AD123" s="157"/>
      <c r="AE123" s="158"/>
      <c r="AF123" s="158"/>
      <c r="AG123" s="158"/>
      <c r="AH123" s="158"/>
      <c r="AI123" s="158"/>
      <c r="AJ123" s="186"/>
    </row>
    <row r="124" spans="4:36" ht="30" x14ac:dyDescent="0.25">
      <c r="D124" s="133" t="s">
        <v>35</v>
      </c>
      <c r="E124" s="134">
        <v>400000</v>
      </c>
      <c r="F124" s="153"/>
      <c r="G124" s="134">
        <f>E124*F124</f>
        <v>0</v>
      </c>
      <c r="H124" s="12"/>
      <c r="I124" s="157"/>
      <c r="J124" s="158"/>
      <c r="K124" s="158"/>
      <c r="L124" s="158"/>
      <c r="M124" s="158"/>
      <c r="N124" s="158"/>
      <c r="O124" s="177"/>
      <c r="P124" s="157"/>
      <c r="Q124" s="158"/>
      <c r="R124" s="158"/>
      <c r="S124" s="158"/>
      <c r="T124" s="158"/>
      <c r="U124" s="158"/>
      <c r="V124" s="177"/>
      <c r="W124" s="157"/>
      <c r="X124" s="158"/>
      <c r="Y124" s="158"/>
      <c r="Z124" s="158"/>
      <c r="AA124" s="158"/>
      <c r="AB124" s="158"/>
      <c r="AC124" s="177"/>
      <c r="AD124" s="157"/>
      <c r="AE124" s="158"/>
      <c r="AF124" s="158"/>
      <c r="AG124" s="158"/>
      <c r="AH124" s="158"/>
      <c r="AI124" s="158"/>
      <c r="AJ124" s="186"/>
    </row>
    <row r="125" spans="4:36" x14ac:dyDescent="0.25">
      <c r="D125" s="135" t="s">
        <v>36</v>
      </c>
      <c r="E125" s="136">
        <f>18000 + 45000</f>
        <v>63000</v>
      </c>
      <c r="F125" s="153"/>
      <c r="G125" s="134">
        <f t="shared" ref="G125:G128" si="48">E125*F125</f>
        <v>0</v>
      </c>
      <c r="H125" s="13"/>
      <c r="I125" s="157"/>
      <c r="J125" s="158"/>
      <c r="K125" s="158"/>
      <c r="L125" s="158"/>
      <c r="M125" s="158"/>
      <c r="N125" s="158"/>
      <c r="O125" s="177"/>
      <c r="P125" s="157"/>
      <c r="Q125" s="158"/>
      <c r="R125" s="158"/>
      <c r="S125" s="158"/>
      <c r="T125" s="158"/>
      <c r="U125" s="158"/>
      <c r="V125" s="177"/>
      <c r="W125" s="157"/>
      <c r="X125" s="158"/>
      <c r="Y125" s="158"/>
      <c r="Z125" s="158"/>
      <c r="AA125" s="158"/>
      <c r="AB125" s="158"/>
      <c r="AC125" s="177"/>
      <c r="AD125" s="157"/>
      <c r="AE125" s="158"/>
      <c r="AF125" s="158"/>
      <c r="AG125" s="158"/>
      <c r="AH125" s="158"/>
      <c r="AI125" s="158"/>
      <c r="AJ125" s="186"/>
    </row>
    <row r="126" spans="4:36" x14ac:dyDescent="0.25">
      <c r="D126" s="133" t="s">
        <v>37</v>
      </c>
      <c r="E126" s="136">
        <f>10000 + 20000</f>
        <v>30000</v>
      </c>
      <c r="F126" s="153"/>
      <c r="G126" s="134">
        <f t="shared" si="48"/>
        <v>0</v>
      </c>
      <c r="H126" s="13"/>
      <c r="I126" s="157"/>
      <c r="J126" s="158"/>
      <c r="K126" s="158"/>
      <c r="L126" s="158"/>
      <c r="M126" s="158"/>
      <c r="N126" s="158"/>
      <c r="O126" s="177"/>
      <c r="P126" s="157"/>
      <c r="Q126" s="158"/>
      <c r="R126" s="158"/>
      <c r="S126" s="158"/>
      <c r="T126" s="158"/>
      <c r="U126" s="158"/>
      <c r="V126" s="177"/>
      <c r="W126" s="157"/>
      <c r="X126" s="158"/>
      <c r="Y126" s="158"/>
      <c r="Z126" s="158"/>
      <c r="AA126" s="158"/>
      <c r="AB126" s="158"/>
      <c r="AC126" s="177"/>
      <c r="AD126" s="157"/>
      <c r="AE126" s="158"/>
      <c r="AF126" s="158"/>
      <c r="AG126" s="158"/>
      <c r="AH126" s="158"/>
      <c r="AI126" s="158"/>
      <c r="AJ126" s="186"/>
    </row>
    <row r="127" spans="4:36" x14ac:dyDescent="0.25">
      <c r="D127" s="133" t="s">
        <v>38</v>
      </c>
      <c r="E127" s="136">
        <f>27000 + 65000</f>
        <v>92000</v>
      </c>
      <c r="F127" s="153"/>
      <c r="G127" s="134">
        <f t="shared" si="48"/>
        <v>0</v>
      </c>
      <c r="H127" s="13"/>
      <c r="I127" s="157"/>
      <c r="J127" s="158"/>
      <c r="K127" s="158"/>
      <c r="L127" s="158"/>
      <c r="M127" s="158"/>
      <c r="N127" s="158"/>
      <c r="O127" s="177"/>
      <c r="P127" s="157"/>
      <c r="Q127" s="158"/>
      <c r="R127" s="158"/>
      <c r="S127" s="158"/>
      <c r="T127" s="158"/>
      <c r="U127" s="158"/>
      <c r="V127" s="177"/>
      <c r="W127" s="157"/>
      <c r="X127" s="158"/>
      <c r="Y127" s="158"/>
      <c r="Z127" s="158"/>
      <c r="AA127" s="158"/>
      <c r="AB127" s="158"/>
      <c r="AC127" s="177"/>
      <c r="AD127" s="157"/>
      <c r="AE127" s="158"/>
      <c r="AF127" s="158"/>
      <c r="AG127" s="158"/>
      <c r="AH127" s="158"/>
      <c r="AI127" s="158"/>
      <c r="AJ127" s="186"/>
    </row>
    <row r="128" spans="4:36" x14ac:dyDescent="0.25">
      <c r="D128" s="137" t="s">
        <v>39</v>
      </c>
      <c r="E128" s="138">
        <f>65000 + 40000</f>
        <v>105000</v>
      </c>
      <c r="F128" s="153"/>
      <c r="G128" s="139">
        <f t="shared" si="48"/>
        <v>0</v>
      </c>
      <c r="H128" s="58"/>
      <c r="I128" s="157"/>
      <c r="J128" s="158"/>
      <c r="K128" s="158"/>
      <c r="L128" s="158"/>
      <c r="M128" s="158"/>
      <c r="N128" s="158"/>
      <c r="O128" s="177"/>
      <c r="P128" s="157"/>
      <c r="Q128" s="158"/>
      <c r="R128" s="158"/>
      <c r="S128" s="158"/>
      <c r="T128" s="158"/>
      <c r="U128" s="158"/>
      <c r="V128" s="177"/>
      <c r="W128" s="157"/>
      <c r="X128" s="158"/>
      <c r="Y128" s="158"/>
      <c r="Z128" s="158"/>
      <c r="AA128" s="158"/>
      <c r="AB128" s="158"/>
      <c r="AC128" s="177"/>
      <c r="AD128" s="157"/>
      <c r="AE128" s="158"/>
      <c r="AF128" s="158"/>
      <c r="AG128" s="158"/>
      <c r="AH128" s="158"/>
      <c r="AI128" s="158"/>
      <c r="AJ128" s="186"/>
    </row>
    <row r="129" spans="4:36" ht="15.75" thickBot="1" x14ac:dyDescent="0.3">
      <c r="D129" s="137" t="s">
        <v>7</v>
      </c>
      <c r="E129" s="139">
        <v>4600</v>
      </c>
      <c r="F129" s="153"/>
      <c r="G129" s="139">
        <f>E129*F129</f>
        <v>0</v>
      </c>
      <c r="H129" s="61"/>
      <c r="I129" s="157"/>
      <c r="J129" s="158"/>
      <c r="K129" s="158"/>
      <c r="L129" s="158"/>
      <c r="M129" s="158"/>
      <c r="N129" s="158"/>
      <c r="O129" s="177"/>
      <c r="P129" s="157"/>
      <c r="Q129" s="158"/>
      <c r="R129" s="158"/>
      <c r="S129" s="158"/>
      <c r="T129" s="158"/>
      <c r="U129" s="158"/>
      <c r="V129" s="177"/>
      <c r="W129" s="157"/>
      <c r="X129" s="158"/>
      <c r="Y129" s="158"/>
      <c r="Z129" s="158"/>
      <c r="AA129" s="158"/>
      <c r="AB129" s="158"/>
      <c r="AC129" s="177"/>
      <c r="AD129" s="157"/>
      <c r="AE129" s="158"/>
      <c r="AF129" s="158"/>
      <c r="AG129" s="158"/>
      <c r="AH129" s="158"/>
      <c r="AI129" s="158"/>
      <c r="AJ129" s="186"/>
    </row>
    <row r="130" spans="4:36" ht="24" thickBot="1" x14ac:dyDescent="0.3">
      <c r="D130" s="192" t="s">
        <v>106</v>
      </c>
      <c r="E130" s="101"/>
      <c r="F130" s="102"/>
      <c r="G130" s="103">
        <f>SUM(G131:G140)</f>
        <v>0</v>
      </c>
      <c r="H130" s="104"/>
      <c r="I130" s="105" t="str">
        <f>IF(CONCATENATE(I131,I132,I133,I134,I135,I136,I137,I138,I139,I140)&gt;" ","х"," ")</f>
        <v xml:space="preserve"> </v>
      </c>
      <c r="J130" s="89" t="str">
        <f>IF(CONCATENATE(J131,J132,J133,J134,J135,J136,J137,J138,J139,J140)&gt;" ","х"," ")</f>
        <v xml:space="preserve"> </v>
      </c>
      <c r="K130" s="89" t="str">
        <f t="shared" ref="K130:O130" si="49">IF(CONCATENATE(K131,K132,K133,K134,K135,K136,K137,K138,K139,K140)&gt;" ","х"," ")</f>
        <v xml:space="preserve"> </v>
      </c>
      <c r="L130" s="89" t="str">
        <f t="shared" si="49"/>
        <v xml:space="preserve"> </v>
      </c>
      <c r="M130" s="89" t="str">
        <f t="shared" si="49"/>
        <v xml:space="preserve"> </v>
      </c>
      <c r="N130" s="89" t="str">
        <f t="shared" si="49"/>
        <v xml:space="preserve"> </v>
      </c>
      <c r="O130" s="181" t="str">
        <f t="shared" si="49"/>
        <v xml:space="preserve"> </v>
      </c>
      <c r="P130" s="105" t="str">
        <f>IF(CONCATENATE(P131,P132,P133,P134,P135,P136,P137,P138,P139,P140)&gt;" ","х"," ")</f>
        <v xml:space="preserve"> </v>
      </c>
      <c r="Q130" s="89" t="str">
        <f>IF(CONCATENATE(Q131,Q132,Q133,Q134,Q135,Q136,Q137,Q138,Q139,Q140)&gt;" ","х"," ")</f>
        <v xml:space="preserve"> </v>
      </c>
      <c r="R130" s="89" t="str">
        <f t="shared" ref="R130:V130" si="50">IF(CONCATENATE(R131,R132,R133,R134,R135,R136,R137,R138,R139,R140)&gt;" ","х"," ")</f>
        <v xml:space="preserve"> </v>
      </c>
      <c r="S130" s="89" t="str">
        <f t="shared" si="50"/>
        <v xml:space="preserve"> </v>
      </c>
      <c r="T130" s="89" t="str">
        <f t="shared" si="50"/>
        <v xml:space="preserve"> </v>
      </c>
      <c r="U130" s="89" t="str">
        <f t="shared" si="50"/>
        <v xml:space="preserve"> </v>
      </c>
      <c r="V130" s="181" t="str">
        <f t="shared" si="50"/>
        <v xml:space="preserve"> </v>
      </c>
      <c r="W130" s="105" t="str">
        <f>IF(CONCATENATE(W131,W132,W133,W134,W135,W136,W137,W138,W139,W140)&gt;" ","х"," ")</f>
        <v xml:space="preserve"> </v>
      </c>
      <c r="X130" s="89" t="str">
        <f>IF(CONCATENATE(X131,X132,X133,X134,X135,X136,X137,X138,X139,X140)&gt;" ","х"," ")</f>
        <v xml:space="preserve"> </v>
      </c>
      <c r="Y130" s="89" t="str">
        <f t="shared" ref="Y130:AC130" si="51">IF(CONCATENATE(Y131,Y132,Y133,Y134,Y135,Y136,Y137,Y138,Y139,Y140)&gt;" ","х"," ")</f>
        <v xml:space="preserve"> </v>
      </c>
      <c r="Z130" s="89" t="str">
        <f t="shared" si="51"/>
        <v xml:space="preserve"> </v>
      </c>
      <c r="AA130" s="89" t="str">
        <f t="shared" si="51"/>
        <v xml:space="preserve"> </v>
      </c>
      <c r="AB130" s="89" t="str">
        <f t="shared" si="51"/>
        <v xml:space="preserve"> </v>
      </c>
      <c r="AC130" s="181" t="str">
        <f t="shared" si="51"/>
        <v xml:space="preserve"> </v>
      </c>
      <c r="AD130" s="88" t="str">
        <f>IF(CONCATENATE(AD131,AD132,AD133,AD134,AD135,AD136,AD137,AD138,AD139,AD140)&gt;" ","х"," ")</f>
        <v xml:space="preserve"> </v>
      </c>
      <c r="AE130" s="89" t="str">
        <f>IF(CONCATENATE(AE131,AE132,AE133,AE134,AE135,AE136,AE137,AE138,AE139,AE140)&gt;" ","х"," ")</f>
        <v xml:space="preserve"> </v>
      </c>
      <c r="AF130" s="89" t="str">
        <f t="shared" ref="AF130:AJ130" si="52">IF(CONCATENATE(AF131,AF132,AF133,AF134,AF135,AF136,AF137,AF138,AF139,AF140)&gt;" ","х"," ")</f>
        <v xml:space="preserve"> </v>
      </c>
      <c r="AG130" s="89" t="str">
        <f t="shared" si="52"/>
        <v xml:space="preserve"> </v>
      </c>
      <c r="AH130" s="89" t="str">
        <f t="shared" si="52"/>
        <v xml:space="preserve"> </v>
      </c>
      <c r="AI130" s="89" t="str">
        <f t="shared" si="52"/>
        <v xml:space="preserve"> </v>
      </c>
      <c r="AJ130" s="181" t="str">
        <f t="shared" si="52"/>
        <v xml:space="preserve"> </v>
      </c>
    </row>
    <row r="131" spans="4:36" x14ac:dyDescent="0.25">
      <c r="D131" s="193"/>
      <c r="E131" s="153"/>
      <c r="F131" s="153"/>
      <c r="G131" s="132">
        <f>E131*F131</f>
        <v>0</v>
      </c>
      <c r="H131" s="62"/>
      <c r="I131" s="157"/>
      <c r="J131" s="158"/>
      <c r="K131" s="158"/>
      <c r="L131" s="158"/>
      <c r="M131" s="158"/>
      <c r="N131" s="158"/>
      <c r="O131" s="177"/>
      <c r="P131" s="157"/>
      <c r="Q131" s="158"/>
      <c r="R131" s="158"/>
      <c r="S131" s="158"/>
      <c r="T131" s="158"/>
      <c r="U131" s="158"/>
      <c r="V131" s="177"/>
      <c r="W131" s="157"/>
      <c r="X131" s="158"/>
      <c r="Y131" s="158"/>
      <c r="Z131" s="158"/>
      <c r="AA131" s="158"/>
      <c r="AB131" s="158"/>
      <c r="AC131" s="177"/>
      <c r="AD131" s="157"/>
      <c r="AE131" s="158"/>
      <c r="AF131" s="158"/>
      <c r="AG131" s="158"/>
      <c r="AH131" s="158"/>
      <c r="AI131" s="158"/>
      <c r="AJ131" s="186"/>
    </row>
    <row r="132" spans="4:36" x14ac:dyDescent="0.25">
      <c r="D132" s="194"/>
      <c r="E132" s="153"/>
      <c r="F132" s="153"/>
      <c r="G132" s="134">
        <f t="shared" ref="G132:G140" si="53">E132*F132</f>
        <v>0</v>
      </c>
      <c r="H132" s="59"/>
      <c r="I132" s="157"/>
      <c r="J132" s="158"/>
      <c r="K132" s="158"/>
      <c r="L132" s="158"/>
      <c r="M132" s="158"/>
      <c r="N132" s="158"/>
      <c r="O132" s="177"/>
      <c r="P132" s="157"/>
      <c r="Q132" s="158"/>
      <c r="R132" s="158"/>
      <c r="S132" s="158"/>
      <c r="T132" s="158"/>
      <c r="U132" s="158"/>
      <c r="V132" s="177"/>
      <c r="W132" s="157"/>
      <c r="X132" s="158"/>
      <c r="Y132" s="158"/>
      <c r="Z132" s="158"/>
      <c r="AA132" s="158"/>
      <c r="AB132" s="158"/>
      <c r="AC132" s="177"/>
      <c r="AD132" s="157"/>
      <c r="AE132" s="158"/>
      <c r="AF132" s="158"/>
      <c r="AG132" s="158"/>
      <c r="AH132" s="158"/>
      <c r="AI132" s="158"/>
      <c r="AJ132" s="186"/>
    </row>
    <row r="133" spans="4:36" x14ac:dyDescent="0.25">
      <c r="D133" s="194"/>
      <c r="E133" s="153"/>
      <c r="F133" s="153"/>
      <c r="G133" s="134">
        <f t="shared" si="53"/>
        <v>0</v>
      </c>
      <c r="H133" s="59"/>
      <c r="I133" s="157"/>
      <c r="J133" s="158"/>
      <c r="K133" s="158"/>
      <c r="L133" s="158"/>
      <c r="M133" s="158"/>
      <c r="N133" s="158"/>
      <c r="O133" s="177"/>
      <c r="P133" s="157"/>
      <c r="Q133" s="158"/>
      <c r="R133" s="158"/>
      <c r="S133" s="158"/>
      <c r="T133" s="158"/>
      <c r="U133" s="158"/>
      <c r="V133" s="177"/>
      <c r="W133" s="157"/>
      <c r="X133" s="158"/>
      <c r="Y133" s="158"/>
      <c r="Z133" s="158"/>
      <c r="AA133" s="158"/>
      <c r="AB133" s="158"/>
      <c r="AC133" s="177"/>
      <c r="AD133" s="157"/>
      <c r="AE133" s="158"/>
      <c r="AF133" s="158"/>
      <c r="AG133" s="158"/>
      <c r="AH133" s="158"/>
      <c r="AI133" s="158"/>
      <c r="AJ133" s="186"/>
    </row>
    <row r="134" spans="4:36" x14ac:dyDescent="0.25">
      <c r="D134" s="194"/>
      <c r="E134" s="153"/>
      <c r="F134" s="153"/>
      <c r="G134" s="134">
        <f t="shared" si="53"/>
        <v>0</v>
      </c>
      <c r="H134" s="59"/>
      <c r="I134" s="157"/>
      <c r="J134" s="158"/>
      <c r="K134" s="158"/>
      <c r="L134" s="158"/>
      <c r="M134" s="158"/>
      <c r="N134" s="158"/>
      <c r="O134" s="177"/>
      <c r="P134" s="157"/>
      <c r="Q134" s="158"/>
      <c r="R134" s="158"/>
      <c r="S134" s="158"/>
      <c r="T134" s="158"/>
      <c r="U134" s="158"/>
      <c r="V134" s="177"/>
      <c r="W134" s="157"/>
      <c r="X134" s="158"/>
      <c r="Y134" s="158"/>
      <c r="Z134" s="158"/>
      <c r="AA134" s="158"/>
      <c r="AB134" s="158"/>
      <c r="AC134" s="177"/>
      <c r="AD134" s="157"/>
      <c r="AE134" s="158"/>
      <c r="AF134" s="158"/>
      <c r="AG134" s="158"/>
      <c r="AH134" s="158"/>
      <c r="AI134" s="158"/>
      <c r="AJ134" s="186"/>
    </row>
    <row r="135" spans="4:36" x14ac:dyDescent="0.25">
      <c r="D135" s="194"/>
      <c r="E135" s="153"/>
      <c r="F135" s="153"/>
      <c r="G135" s="134">
        <f t="shared" si="53"/>
        <v>0</v>
      </c>
      <c r="H135" s="59"/>
      <c r="I135" s="157"/>
      <c r="J135" s="158"/>
      <c r="K135" s="158"/>
      <c r="L135" s="158"/>
      <c r="M135" s="158"/>
      <c r="N135" s="158"/>
      <c r="O135" s="177"/>
      <c r="P135" s="157"/>
      <c r="Q135" s="158"/>
      <c r="R135" s="158"/>
      <c r="S135" s="158"/>
      <c r="T135" s="158"/>
      <c r="U135" s="158"/>
      <c r="V135" s="177"/>
      <c r="W135" s="157"/>
      <c r="X135" s="158"/>
      <c r="Y135" s="158"/>
      <c r="Z135" s="158"/>
      <c r="AA135" s="158"/>
      <c r="AB135" s="158"/>
      <c r="AC135" s="177"/>
      <c r="AD135" s="157"/>
      <c r="AE135" s="158"/>
      <c r="AF135" s="158"/>
      <c r="AG135" s="158"/>
      <c r="AH135" s="158"/>
      <c r="AI135" s="158"/>
      <c r="AJ135" s="186"/>
    </row>
    <row r="136" spans="4:36" x14ac:dyDescent="0.25">
      <c r="D136" s="194"/>
      <c r="E136" s="153"/>
      <c r="F136" s="153"/>
      <c r="G136" s="134">
        <f t="shared" si="53"/>
        <v>0</v>
      </c>
      <c r="H136" s="59"/>
      <c r="I136" s="157"/>
      <c r="J136" s="158"/>
      <c r="K136" s="158"/>
      <c r="L136" s="158"/>
      <c r="M136" s="158"/>
      <c r="N136" s="158"/>
      <c r="O136" s="177"/>
      <c r="P136" s="157"/>
      <c r="Q136" s="158"/>
      <c r="R136" s="158"/>
      <c r="S136" s="158"/>
      <c r="T136" s="158"/>
      <c r="U136" s="158"/>
      <c r="V136" s="177"/>
      <c r="W136" s="157"/>
      <c r="X136" s="158"/>
      <c r="Y136" s="158"/>
      <c r="Z136" s="158"/>
      <c r="AA136" s="158"/>
      <c r="AB136" s="158"/>
      <c r="AC136" s="177"/>
      <c r="AD136" s="157"/>
      <c r="AE136" s="158"/>
      <c r="AF136" s="158"/>
      <c r="AG136" s="158"/>
      <c r="AH136" s="158"/>
      <c r="AI136" s="158"/>
      <c r="AJ136" s="186"/>
    </row>
    <row r="137" spans="4:36" x14ac:dyDescent="0.25">
      <c r="D137" s="194"/>
      <c r="E137" s="153"/>
      <c r="F137" s="153"/>
      <c r="G137" s="134">
        <f t="shared" si="53"/>
        <v>0</v>
      </c>
      <c r="H137" s="59"/>
      <c r="I137" s="157"/>
      <c r="J137" s="158"/>
      <c r="K137" s="158"/>
      <c r="L137" s="158"/>
      <c r="M137" s="158"/>
      <c r="N137" s="158"/>
      <c r="O137" s="177"/>
      <c r="P137" s="157"/>
      <c r="Q137" s="158"/>
      <c r="R137" s="158"/>
      <c r="S137" s="158"/>
      <c r="T137" s="158"/>
      <c r="U137" s="158"/>
      <c r="V137" s="177"/>
      <c r="W137" s="157"/>
      <c r="X137" s="158"/>
      <c r="Y137" s="158"/>
      <c r="Z137" s="158"/>
      <c r="AA137" s="158"/>
      <c r="AB137" s="158"/>
      <c r="AC137" s="177"/>
      <c r="AD137" s="157"/>
      <c r="AE137" s="158"/>
      <c r="AF137" s="158"/>
      <c r="AG137" s="158"/>
      <c r="AH137" s="158"/>
      <c r="AI137" s="158"/>
      <c r="AJ137" s="186"/>
    </row>
    <row r="138" spans="4:36" x14ac:dyDescent="0.25">
      <c r="D138" s="194"/>
      <c r="E138" s="153"/>
      <c r="F138" s="153"/>
      <c r="G138" s="134">
        <f t="shared" si="53"/>
        <v>0</v>
      </c>
      <c r="H138" s="59"/>
      <c r="I138" s="157"/>
      <c r="J138" s="158"/>
      <c r="K138" s="158"/>
      <c r="L138" s="158"/>
      <c r="M138" s="158"/>
      <c r="N138" s="158"/>
      <c r="O138" s="177"/>
      <c r="P138" s="157"/>
      <c r="Q138" s="158"/>
      <c r="R138" s="158"/>
      <c r="S138" s="158"/>
      <c r="T138" s="158"/>
      <c r="U138" s="158"/>
      <c r="V138" s="177"/>
      <c r="W138" s="157"/>
      <c r="X138" s="158"/>
      <c r="Y138" s="158"/>
      <c r="Z138" s="158"/>
      <c r="AA138" s="158"/>
      <c r="AB138" s="158"/>
      <c r="AC138" s="177"/>
      <c r="AD138" s="157"/>
      <c r="AE138" s="158"/>
      <c r="AF138" s="158"/>
      <c r="AG138" s="158"/>
      <c r="AH138" s="158"/>
      <c r="AI138" s="158"/>
      <c r="AJ138" s="186"/>
    </row>
    <row r="139" spans="4:36" x14ac:dyDescent="0.25">
      <c r="D139" s="194"/>
      <c r="E139" s="153"/>
      <c r="F139" s="153"/>
      <c r="G139" s="134">
        <f t="shared" si="53"/>
        <v>0</v>
      </c>
      <c r="H139" s="59"/>
      <c r="I139" s="157"/>
      <c r="J139" s="158"/>
      <c r="K139" s="158"/>
      <c r="L139" s="158"/>
      <c r="M139" s="158"/>
      <c r="N139" s="158"/>
      <c r="O139" s="177"/>
      <c r="P139" s="157"/>
      <c r="Q139" s="158"/>
      <c r="R139" s="158"/>
      <c r="S139" s="158"/>
      <c r="T139" s="158"/>
      <c r="U139" s="158"/>
      <c r="V139" s="177"/>
      <c r="W139" s="157"/>
      <c r="X139" s="158"/>
      <c r="Y139" s="158"/>
      <c r="Z139" s="158"/>
      <c r="AA139" s="158"/>
      <c r="AB139" s="158"/>
      <c r="AC139" s="177"/>
      <c r="AD139" s="157"/>
      <c r="AE139" s="158"/>
      <c r="AF139" s="158"/>
      <c r="AG139" s="158"/>
      <c r="AH139" s="158"/>
      <c r="AI139" s="158"/>
      <c r="AJ139" s="186"/>
    </row>
    <row r="140" spans="4:36" ht="15.75" thickBot="1" x14ac:dyDescent="0.3">
      <c r="D140" s="195"/>
      <c r="E140" s="153"/>
      <c r="F140" s="153"/>
      <c r="G140" s="134">
        <f t="shared" si="53"/>
        <v>0</v>
      </c>
      <c r="H140" s="60"/>
      <c r="I140" s="157"/>
      <c r="J140" s="158"/>
      <c r="K140" s="158"/>
      <c r="L140" s="158"/>
      <c r="M140" s="158"/>
      <c r="N140" s="158"/>
      <c r="O140" s="177"/>
      <c r="P140" s="157"/>
      <c r="Q140" s="158"/>
      <c r="R140" s="158"/>
      <c r="S140" s="158"/>
      <c r="T140" s="158"/>
      <c r="U140" s="158"/>
      <c r="V140" s="177"/>
      <c r="W140" s="157"/>
      <c r="X140" s="158"/>
      <c r="Y140" s="158"/>
      <c r="Z140" s="158"/>
      <c r="AA140" s="158"/>
      <c r="AB140" s="158"/>
      <c r="AC140" s="177"/>
      <c r="AD140" s="189"/>
      <c r="AE140" s="190"/>
      <c r="AF140" s="190"/>
      <c r="AG140" s="190"/>
      <c r="AH140" s="190"/>
      <c r="AI140" s="190"/>
      <c r="AJ140" s="191"/>
    </row>
    <row r="141" spans="4:36" ht="27" thickTop="1" x14ac:dyDescent="0.25">
      <c r="D141" s="106" t="s">
        <v>33</v>
      </c>
      <c r="E141" s="106"/>
      <c r="F141" s="106"/>
      <c r="G141" s="106">
        <f>SUM(G7,G14,G34,G80,G130,G97,G121)</f>
        <v>0</v>
      </c>
      <c r="H141" s="106"/>
      <c r="I141" s="107"/>
      <c r="J141" s="107"/>
      <c r="K141" s="107"/>
      <c r="L141" s="107"/>
      <c r="M141" s="107"/>
      <c r="N141" s="107"/>
      <c r="O141" s="182"/>
      <c r="P141" s="107"/>
      <c r="Q141" s="107"/>
      <c r="R141" s="107"/>
      <c r="S141" s="107"/>
      <c r="T141" s="107"/>
      <c r="U141" s="107"/>
      <c r="V141" s="182"/>
      <c r="W141" s="107"/>
      <c r="X141" s="107"/>
      <c r="Y141" s="107"/>
      <c r="Z141" s="107"/>
      <c r="AA141" s="107"/>
      <c r="AB141" s="107"/>
      <c r="AC141" s="182"/>
      <c r="AD141" s="108"/>
      <c r="AE141" s="108"/>
      <c r="AF141" s="108"/>
      <c r="AG141" s="108"/>
      <c r="AH141" s="108"/>
      <c r="AI141" s="108"/>
      <c r="AJ141" s="108"/>
    </row>
  </sheetData>
  <mergeCells count="10">
    <mergeCell ref="D1:AJ1"/>
    <mergeCell ref="D3:G5"/>
    <mergeCell ref="I3:O3"/>
    <mergeCell ref="P3:V3"/>
    <mergeCell ref="W3:AC3"/>
    <mergeCell ref="AD3:AJ3"/>
    <mergeCell ref="I4:O4"/>
    <mergeCell ref="P4:V4"/>
    <mergeCell ref="W4:AC4"/>
    <mergeCell ref="AD4:AJ4"/>
  </mergeCells>
  <conditionalFormatting sqref="I7:AJ140">
    <cfRule type="containsText" priority="1" operator="containsText" text="x">
      <formula>NOT(ISERROR(SEARCH("x",I7)))</formula>
    </cfRule>
    <cfRule type="containsText" dxfId="1" priority="2" operator="containsText" text="х">
      <formula>NOT(ISERROR(SEARCH("х",I7)))</formula>
    </cfRule>
    <cfRule type="notContainsBlanks" dxfId="0" priority="3">
      <formula>LEN(TRIM(I7))&gt;0</formula>
    </cfRule>
  </conditionalFormatting>
  <dataValidations count="1">
    <dataValidation type="list" allowBlank="1" showInputMessage="1" showErrorMessage="1" sqref="I8:AJ12 I15:AJ19 I21:AJ33 I35:AJ37 I39:AJ58 I61:AJ71 I73:AJ77 I81:AJ96 I98:AJ120 I122:AJ129 I131:AJ140">
      <formula1>$X$8</formula1>
    </dataValidation>
  </dataValidations>
  <hyperlinks>
    <hyperlink ref="D8" r:id="rId1"/>
    <hyperlink ref="D9" r:id="rId2"/>
    <hyperlink ref="D15" r:id="rId3"/>
    <hyperlink ref="D16" r:id="rId4"/>
    <hyperlink ref="D17" r:id="rId5"/>
    <hyperlink ref="D81" r:id="rId6"/>
    <hyperlink ref="D82" r:id="rId7"/>
    <hyperlink ref="D83" r:id="rId8"/>
    <hyperlink ref="D61" r:id="rId9"/>
    <hyperlink ref="D62" r:id="rId10"/>
    <hyperlink ref="D63" r:id="rId11"/>
    <hyperlink ref="D77" r:id="rId12" display="Звонарь в аренду (Последующий месяц)"/>
    <hyperlink ref="D28" r:id="rId13" display="Руководитель отдела продаж в аренду Стандарт"/>
    <hyperlink ref="D30" r:id="rId14" display="Руководитель отдела продаж в аренду ВИП"/>
    <hyperlink ref="D32" r:id="rId15" display="Руководитель отдела продаж в аренду ALL INCLUSIVE"/>
    <hyperlink ref="D66" r:id="rId16"/>
    <hyperlink ref="D68" r:id="rId17"/>
    <hyperlink ref="D70" r:id="rId18"/>
    <hyperlink ref="D73" r:id="rId19"/>
    <hyperlink ref="D74" r:id="rId20"/>
    <hyperlink ref="D75" r:id="rId21"/>
    <hyperlink ref="D91" r:id="rId22"/>
    <hyperlink ref="D93" r:id="rId23"/>
    <hyperlink ref="D95" r:id="rId24"/>
    <hyperlink ref="D35" r:id="rId25"/>
    <hyperlink ref="D36" r:id="rId26"/>
    <hyperlink ref="D37" r:id="rId27"/>
    <hyperlink ref="D38" r:id="rId28"/>
    <hyperlink ref="D49" r:id="rId29"/>
    <hyperlink ref="D50" r:id="rId30"/>
    <hyperlink ref="D51" r:id="rId31"/>
    <hyperlink ref="D117" r:id="rId32"/>
    <hyperlink ref="D20" r:id="rId33" display="Найм менеджера (конкурсный найм)"/>
    <hyperlink ref="D10" r:id="rId34"/>
    <hyperlink ref="D11" r:id="rId35"/>
    <hyperlink ref="D12" r:id="rId36"/>
    <hyperlink ref="D76" r:id="rId37"/>
    <hyperlink ref="D21" r:id="rId38" display="2 - 4 менеджера (15-25 кандидатов на собеседовании (в среднем))"/>
    <hyperlink ref="D22" r:id="rId39" display="1 Руководитель (40-60 кандидатов в 2 потока на собеседовании (в среднем))"/>
    <hyperlink ref="D23" r:id="rId40" display="5 сотрудников и более (от 40 кандидатов минимум в 2 потока)"/>
    <hyperlink ref="D29" r:id="rId41"/>
    <hyperlink ref="D31" r:id="rId42"/>
    <hyperlink ref="D33" r:id="rId43"/>
    <hyperlink ref="D67" r:id="rId44"/>
    <hyperlink ref="D69" r:id="rId45"/>
    <hyperlink ref="D71" r:id="rId46"/>
    <hyperlink ref="D92" r:id="rId47"/>
    <hyperlink ref="D94" r:id="rId48"/>
    <hyperlink ref="D96" r:id="rId49"/>
  </hyperlinks>
  <pageMargins left="0.7" right="0.7" top="0.75" bottom="0.75" header="0.3" footer="0.3"/>
  <pageSetup paperSize="9" orientation="portrait" verticalDpi="0" r:id="rId5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Таблица</vt:lpstr>
      <vt:lpstr>Изменения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retiv</dc:creator>
  <cp:lastModifiedBy>user</cp:lastModifiedBy>
  <dcterms:created xsi:type="dcterms:W3CDTF">2020-11-02T15:32:34Z</dcterms:created>
  <dcterms:modified xsi:type="dcterms:W3CDTF">2021-05-28T14:53:15Z</dcterms:modified>
</cp:coreProperties>
</file>